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leksandrsadruhin/Desktop/Informatics Labs/Lab_number_5/"/>
    </mc:Choice>
  </mc:AlternateContent>
  <xr:revisionPtr revIDLastSave="0" documentId="8_{6A3527D6-D70D-8C48-BF39-CA446A099510}" xr6:coauthVersionLast="47" xr6:coauthVersionMax="47" xr10:uidLastSave="{00000000-0000-0000-0000-000000000000}"/>
  <bookViews>
    <workbookView xWindow="0" yWindow="760" windowWidth="34560" windowHeight="20180" xr2:uid="{5D2CB378-8105-9B4D-B837-CDF62978A77D}"/>
  </bookViews>
  <sheets>
    <sheet name="Лист1" sheetId="1" r:id="rId1"/>
    <sheet name="Лист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" l="1"/>
  <c r="G10" i="1"/>
  <c r="G11" i="1"/>
  <c r="AD30" i="1" s="1"/>
  <c r="G12" i="1"/>
  <c r="AD38" i="1" s="1"/>
  <c r="G13" i="1"/>
  <c r="G14" i="1"/>
  <c r="AD53" i="1" s="1"/>
  <c r="G15" i="1"/>
  <c r="G5" i="1"/>
  <c r="G6" i="1"/>
  <c r="G7" i="1"/>
  <c r="G8" i="1"/>
  <c r="AD22" i="1"/>
  <c r="G4" i="1"/>
  <c r="AE38" i="1"/>
  <c r="AE36" i="1" s="1"/>
  <c r="AE56" i="1"/>
  <c r="AF56" i="1"/>
  <c r="AG56" i="1"/>
  <c r="AI56" i="1"/>
  <c r="AJ56" i="1"/>
  <c r="AK56" i="1"/>
  <c r="AL56" i="1"/>
  <c r="AN56" i="1"/>
  <c r="AO56" i="1"/>
  <c r="AP56" i="1"/>
  <c r="AQ56" i="1"/>
  <c r="AS56" i="1"/>
  <c r="AT56" i="1"/>
  <c r="AU56" i="1"/>
  <c r="AV56" i="1"/>
  <c r="AE52" i="1"/>
  <c r="AF52" i="1"/>
  <c r="AG52" i="1"/>
  <c r="AI52" i="1"/>
  <c r="AJ52" i="1"/>
  <c r="AK52" i="1"/>
  <c r="AL52" i="1"/>
  <c r="AN52" i="1"/>
  <c r="AO52" i="1"/>
  <c r="AP52" i="1"/>
  <c r="AQ52" i="1"/>
  <c r="AS52" i="1"/>
  <c r="AT52" i="1"/>
  <c r="AU52" i="1"/>
  <c r="AV52" i="1"/>
  <c r="AU53" i="1"/>
  <c r="AV53" i="1"/>
  <c r="AT53" i="1"/>
  <c r="AS53" i="1"/>
  <c r="AP53" i="1"/>
  <c r="AQ53" i="1"/>
  <c r="AO53" i="1"/>
  <c r="AN53" i="1"/>
  <c r="AK53" i="1"/>
  <c r="AL53" i="1"/>
  <c r="AJ53" i="1"/>
  <c r="AI53" i="1"/>
  <c r="AF53" i="1"/>
  <c r="AG53" i="1"/>
  <c r="AE53" i="1"/>
  <c r="AX48" i="1"/>
  <c r="AD48" i="1"/>
  <c r="AE48" i="1"/>
  <c r="AF48" i="1"/>
  <c r="AG48" i="1"/>
  <c r="AI48" i="1"/>
  <c r="AJ48" i="1"/>
  <c r="AK48" i="1"/>
  <c r="AL48" i="1"/>
  <c r="AN48" i="1"/>
  <c r="AO48" i="1"/>
  <c r="AP48" i="1"/>
  <c r="AQ48" i="1"/>
  <c r="AS48" i="1"/>
  <c r="AT48" i="1"/>
  <c r="AU48" i="1"/>
  <c r="AV48" i="1"/>
  <c r="AD44" i="1"/>
  <c r="AE44" i="1"/>
  <c r="AF44" i="1"/>
  <c r="AG44" i="1"/>
  <c r="AI44" i="1"/>
  <c r="AJ44" i="1"/>
  <c r="AK44" i="1"/>
  <c r="AL44" i="1"/>
  <c r="AN44" i="1"/>
  <c r="AO44" i="1"/>
  <c r="AP44" i="1"/>
  <c r="AQ44" i="1"/>
  <c r="AS44" i="1"/>
  <c r="AT44" i="1"/>
  <c r="AU44" i="1"/>
  <c r="AV44" i="1"/>
  <c r="AF40" i="1"/>
  <c r="AG40" i="1"/>
  <c r="AI40" i="1"/>
  <c r="AJ40" i="1"/>
  <c r="AK40" i="1"/>
  <c r="AL40" i="1"/>
  <c r="AN40" i="1"/>
  <c r="AO40" i="1"/>
  <c r="AP40" i="1"/>
  <c r="AQ40" i="1"/>
  <c r="AS40" i="1"/>
  <c r="AT40" i="1"/>
  <c r="AU40" i="1"/>
  <c r="AV40" i="1"/>
  <c r="AF36" i="1"/>
  <c r="AG36" i="1"/>
  <c r="AI36" i="1"/>
  <c r="AJ36" i="1"/>
  <c r="AK36" i="1"/>
  <c r="AL36" i="1"/>
  <c r="AN36" i="1"/>
  <c r="AO36" i="1"/>
  <c r="AP36" i="1"/>
  <c r="AQ36" i="1"/>
  <c r="AS36" i="1"/>
  <c r="AT36" i="1"/>
  <c r="AU36" i="1"/>
  <c r="AV36" i="1"/>
  <c r="AU38" i="1"/>
  <c r="AV38" i="1"/>
  <c r="AT38" i="1"/>
  <c r="AS38" i="1"/>
  <c r="AP38" i="1"/>
  <c r="AQ38" i="1"/>
  <c r="AO38" i="1"/>
  <c r="AN38" i="1"/>
  <c r="AK38" i="1"/>
  <c r="AL38" i="1"/>
  <c r="AJ38" i="1"/>
  <c r="AI38" i="1"/>
  <c r="AF38" i="1"/>
  <c r="AE32" i="1"/>
  <c r="AF32" i="1"/>
  <c r="AG32" i="1"/>
  <c r="AI32" i="1"/>
  <c r="AJ32" i="1"/>
  <c r="AK32" i="1"/>
  <c r="AL32" i="1"/>
  <c r="AN32" i="1"/>
  <c r="AO32" i="1"/>
  <c r="AP32" i="1"/>
  <c r="AQ32" i="1"/>
  <c r="AS32" i="1"/>
  <c r="AT32" i="1"/>
  <c r="AU32" i="1"/>
  <c r="AV32" i="1"/>
  <c r="AE28" i="1"/>
  <c r="AF28" i="1"/>
  <c r="AG28" i="1"/>
  <c r="AI28" i="1"/>
  <c r="AJ28" i="1"/>
  <c r="AK28" i="1"/>
  <c r="AL28" i="1"/>
  <c r="AN28" i="1"/>
  <c r="AO28" i="1"/>
  <c r="AP28" i="1"/>
  <c r="AQ28" i="1"/>
  <c r="AS28" i="1"/>
  <c r="AT28" i="1"/>
  <c r="AU28" i="1"/>
  <c r="AV28" i="1"/>
  <c r="AU30" i="1"/>
  <c r="AV30" i="1"/>
  <c r="AT30" i="1"/>
  <c r="AS30" i="1"/>
  <c r="AP30" i="1"/>
  <c r="AQ30" i="1"/>
  <c r="AO30" i="1"/>
  <c r="AN30" i="1"/>
  <c r="AK30" i="1"/>
  <c r="AL30" i="1"/>
  <c r="AJ30" i="1"/>
  <c r="AI30" i="1"/>
  <c r="AF30" i="1"/>
  <c r="AG30" i="1"/>
  <c r="AE30" i="1"/>
  <c r="AV24" i="1"/>
  <c r="AV20" i="1"/>
  <c r="AU20" i="1" s="1"/>
  <c r="AU22" i="1"/>
  <c r="AV22" i="1"/>
  <c r="AS22" i="1"/>
  <c r="AT22" i="1"/>
  <c r="AP22" i="1"/>
  <c r="AQ22" i="1"/>
  <c r="AO22" i="1"/>
  <c r="AN22" i="1"/>
  <c r="AK22" i="1"/>
  <c r="AL22" i="1"/>
  <c r="AJ22" i="1"/>
  <c r="AI22" i="1"/>
  <c r="AF22" i="1"/>
  <c r="AG22" i="1"/>
  <c r="AE22" i="1"/>
  <c r="AT14" i="1"/>
  <c r="AV13" i="1"/>
  <c r="AS13" i="1"/>
  <c r="AN14" i="1"/>
  <c r="AP14" i="1"/>
  <c r="AQ14" i="1"/>
  <c r="AN13" i="1"/>
  <c r="AK13" i="1"/>
  <c r="AL13" i="1"/>
  <c r="AE14" i="1"/>
  <c r="AE13" i="1"/>
  <c r="AD13" i="1"/>
  <c r="BB45" i="1"/>
  <c r="BB54" i="1"/>
  <c r="BB21" i="1"/>
  <c r="BB13" i="1"/>
  <c r="BB6" i="1"/>
  <c r="BB5" i="1"/>
  <c r="BB8" i="1" s="1"/>
  <c r="AS6" i="1"/>
  <c r="AT6" i="1"/>
  <c r="AT5" i="1"/>
  <c r="AS5" i="1"/>
  <c r="AN6" i="1"/>
  <c r="AP6" i="1"/>
  <c r="AQ6" i="1"/>
  <c r="AI6" i="1"/>
  <c r="AJ6" i="1"/>
  <c r="AL6" i="1"/>
  <c r="AJ5" i="1"/>
  <c r="AE6" i="1"/>
  <c r="AF5" i="1"/>
  <c r="AE5" i="1"/>
  <c r="AD5" i="1"/>
  <c r="T8" i="1"/>
  <c r="V8" i="1"/>
  <c r="Y5" i="1"/>
  <c r="AV6" i="1" s="1"/>
  <c r="Y6" i="1"/>
  <c r="AV14" i="1" s="1"/>
  <c r="Y4" i="1"/>
  <c r="AV5" i="1" s="1"/>
  <c r="X5" i="1"/>
  <c r="AU6" i="1" s="1"/>
  <c r="X6" i="1"/>
  <c r="AU14" i="1" s="1"/>
  <c r="X4" i="1"/>
  <c r="AU5" i="1" s="1"/>
  <c r="W5" i="1"/>
  <c r="AT13" i="1" s="1"/>
  <c r="W6" i="1"/>
  <c r="W7" i="1"/>
  <c r="W4" i="1"/>
  <c r="V5" i="1"/>
  <c r="V4" i="1"/>
  <c r="T5" i="1"/>
  <c r="AQ13" i="1" s="1"/>
  <c r="T6" i="1"/>
  <c r="T4" i="1"/>
  <c r="AQ5" i="1" s="1"/>
  <c r="S5" i="1"/>
  <c r="AP13" i="1" s="1"/>
  <c r="S6" i="1"/>
  <c r="S4" i="1"/>
  <c r="AP5" i="1" s="1"/>
  <c r="R5" i="1"/>
  <c r="AO13" i="1" s="1"/>
  <c r="R4" i="1"/>
  <c r="AO5" i="1" s="1"/>
  <c r="Q5" i="1"/>
  <c r="Q6" i="1"/>
  <c r="Q4" i="1"/>
  <c r="AN5" i="1" s="1"/>
  <c r="O5" i="1"/>
  <c r="O4" i="1"/>
  <c r="AL5" i="1" s="1"/>
  <c r="N5" i="1"/>
  <c r="AK6" i="1" s="1"/>
  <c r="N6" i="1"/>
  <c r="AK14" i="1" s="1"/>
  <c r="N4" i="1"/>
  <c r="AK5" i="1" s="1"/>
  <c r="M5" i="1"/>
  <c r="AJ13" i="1" s="1"/>
  <c r="M4" i="1"/>
  <c r="L5" i="1"/>
  <c r="AI13" i="1" s="1"/>
  <c r="L6" i="1"/>
  <c r="AI14" i="1" s="1"/>
  <c r="L4" i="1"/>
  <c r="AI5" i="1" s="1"/>
  <c r="J5" i="1"/>
  <c r="AG6" i="1" s="1"/>
  <c r="J6" i="1"/>
  <c r="AG14" i="1" s="1"/>
  <c r="J4" i="1"/>
  <c r="AG5" i="1" s="1"/>
  <c r="I5" i="1"/>
  <c r="AF6" i="1" s="1"/>
  <c r="I4" i="1"/>
  <c r="H5" i="1"/>
  <c r="H6" i="1"/>
  <c r="H4" i="1"/>
  <c r="AD6" i="1"/>
  <c r="AD14" i="1"/>
  <c r="C12" i="1"/>
  <c r="Y12" i="1" s="1"/>
  <c r="C11" i="1"/>
  <c r="M11" i="1" s="1"/>
  <c r="C10" i="1"/>
  <c r="L10" i="1" s="1"/>
  <c r="C8" i="1"/>
  <c r="W8" i="1" s="1"/>
  <c r="C6" i="1"/>
  <c r="C7" i="1" s="1"/>
  <c r="N7" i="1" s="1"/>
  <c r="AD52" i="1" l="1"/>
  <c r="AD56" i="1"/>
  <c r="AX56" i="1" s="1"/>
  <c r="AD32" i="1"/>
  <c r="AX32" i="1" s="1"/>
  <c r="AD28" i="1"/>
  <c r="AD40" i="1"/>
  <c r="AD36" i="1"/>
  <c r="AE40" i="1"/>
  <c r="AU24" i="1"/>
  <c r="AT24" i="1"/>
  <c r="AT20" i="1"/>
  <c r="AV8" i="1"/>
  <c r="AV4" i="1"/>
  <c r="AV12" i="1"/>
  <c r="AV16" i="1"/>
  <c r="AU8" i="1"/>
  <c r="AU4" i="1"/>
  <c r="AT8" i="1" s="1"/>
  <c r="AT4" i="1"/>
  <c r="AS8" i="1" s="1"/>
  <c r="AG13" i="1"/>
  <c r="BB22" i="1"/>
  <c r="BB24" i="1" s="1"/>
  <c r="BB56" i="1"/>
  <c r="AF13" i="1"/>
  <c r="BB46" i="1"/>
  <c r="BB48" i="1" s="1"/>
  <c r="AO6" i="1"/>
  <c r="J12" i="1"/>
  <c r="J11" i="1"/>
  <c r="BB37" i="1"/>
  <c r="AU13" i="1"/>
  <c r="M6" i="1"/>
  <c r="AJ14" i="1" s="1"/>
  <c r="S12" i="1"/>
  <c r="BB30" i="1"/>
  <c r="H10" i="1"/>
  <c r="H11" i="1"/>
  <c r="O12" i="1"/>
  <c r="BB38" i="1"/>
  <c r="O11" i="1"/>
  <c r="R6" i="1"/>
  <c r="AO14" i="1" s="1"/>
  <c r="R12" i="1"/>
  <c r="BB14" i="1"/>
  <c r="BB16" i="1" s="1"/>
  <c r="BB29" i="1"/>
  <c r="AN50" i="1"/>
  <c r="AN42" i="1"/>
  <c r="H7" i="1"/>
  <c r="T10" i="1"/>
  <c r="I10" i="1"/>
  <c r="V10" i="1"/>
  <c r="L8" i="1"/>
  <c r="X8" i="1"/>
  <c r="M8" i="1"/>
  <c r="Y8" i="1"/>
  <c r="N8" i="1"/>
  <c r="O8" i="1"/>
  <c r="C14" i="1"/>
  <c r="BB53" i="1" s="1"/>
  <c r="J8" i="1"/>
  <c r="Q8" i="1"/>
  <c r="R8" i="1"/>
  <c r="C9" i="1"/>
  <c r="T7" i="1"/>
  <c r="J10" i="1"/>
  <c r="M12" i="1"/>
  <c r="J7" i="1"/>
  <c r="Y7" i="1"/>
  <c r="S7" i="1"/>
  <c r="O7" i="1"/>
  <c r="M7" i="1"/>
  <c r="V7" i="1"/>
  <c r="X7" i="1"/>
  <c r="R7" i="1"/>
  <c r="L7" i="1"/>
  <c r="C13" i="1"/>
  <c r="I7" i="1"/>
  <c r="H8" i="1"/>
  <c r="S8" i="1"/>
  <c r="Q7" i="1"/>
  <c r="W10" i="1"/>
  <c r="S10" i="1"/>
  <c r="X10" i="1"/>
  <c r="R10" i="1"/>
  <c r="Y10" i="1"/>
  <c r="Q10" i="1"/>
  <c r="O10" i="1"/>
  <c r="N10" i="1"/>
  <c r="M10" i="1"/>
  <c r="I8" i="1"/>
  <c r="V11" i="1"/>
  <c r="W11" i="1"/>
  <c r="X11" i="1"/>
  <c r="Q11" i="1"/>
  <c r="N11" i="1"/>
  <c r="L11" i="1"/>
  <c r="I11" i="1"/>
  <c r="Y11" i="1"/>
  <c r="R11" i="1"/>
  <c r="S11" i="1"/>
  <c r="T11" i="1"/>
  <c r="Q12" i="1"/>
  <c r="N12" i="1"/>
  <c r="L12" i="1"/>
  <c r="I12" i="1"/>
  <c r="V12" i="1"/>
  <c r="W12" i="1"/>
  <c r="H12" i="1"/>
  <c r="T12" i="1"/>
  <c r="X12" i="1"/>
  <c r="O6" i="1"/>
  <c r="AL14" i="1" s="1"/>
  <c r="I6" i="1"/>
  <c r="AF14" i="1" s="1"/>
  <c r="V6" i="1"/>
  <c r="AS14" i="1" s="1"/>
  <c r="AX40" i="1" l="1"/>
  <c r="AS20" i="1"/>
  <c r="AS24" i="1"/>
  <c r="AU12" i="1"/>
  <c r="AU16" i="1"/>
  <c r="BB40" i="1"/>
  <c r="BB32" i="1"/>
  <c r="AS4" i="1"/>
  <c r="X13" i="1"/>
  <c r="S13" i="1"/>
  <c r="Y13" i="1"/>
  <c r="T13" i="1"/>
  <c r="Q13" i="1"/>
  <c r="N13" i="1"/>
  <c r="L13" i="1"/>
  <c r="I13" i="1"/>
  <c r="W13" i="1"/>
  <c r="M13" i="1"/>
  <c r="J13" i="1"/>
  <c r="R13" i="1"/>
  <c r="H13" i="1"/>
  <c r="V13" i="1"/>
  <c r="O13" i="1"/>
  <c r="V9" i="1"/>
  <c r="W9" i="1"/>
  <c r="L9" i="1"/>
  <c r="X9" i="1"/>
  <c r="C15" i="1"/>
  <c r="Y9" i="1"/>
  <c r="N9" i="1"/>
  <c r="O9" i="1"/>
  <c r="M9" i="1"/>
  <c r="J9" i="1"/>
  <c r="Q9" i="1"/>
  <c r="T9" i="1"/>
  <c r="R9" i="1"/>
  <c r="S9" i="1"/>
  <c r="I9" i="1"/>
  <c r="H9" i="1"/>
  <c r="O14" i="1"/>
  <c r="M14" i="1"/>
  <c r="J14" i="1"/>
  <c r="H14" i="1"/>
  <c r="V14" i="1"/>
  <c r="R14" i="1"/>
  <c r="S14" i="1"/>
  <c r="T14" i="1"/>
  <c r="Q14" i="1"/>
  <c r="L14" i="1"/>
  <c r="I14" i="1"/>
  <c r="W14" i="1"/>
  <c r="X14" i="1"/>
  <c r="Y14" i="1"/>
  <c r="N14" i="1"/>
  <c r="AQ24" i="1" l="1"/>
  <c r="AQ20" i="1"/>
  <c r="AN10" i="1"/>
  <c r="AQ4" i="1"/>
  <c r="AQ8" i="1"/>
  <c r="AT16" i="1"/>
  <c r="AT12" i="1"/>
  <c r="AN34" i="1"/>
  <c r="AN26" i="1"/>
  <c r="O15" i="1"/>
  <c r="M15" i="1"/>
  <c r="J15" i="1"/>
  <c r="H15" i="1"/>
  <c r="R15" i="1"/>
  <c r="N15" i="1"/>
  <c r="X15" i="1"/>
  <c r="Y15" i="1"/>
  <c r="S15" i="1"/>
  <c r="T15" i="1"/>
  <c r="Q15" i="1"/>
  <c r="V15" i="1"/>
  <c r="L15" i="1"/>
  <c r="I15" i="1"/>
  <c r="W15" i="1"/>
  <c r="AP24" i="1" l="1"/>
  <c r="AP20" i="1"/>
  <c r="AS16" i="1"/>
  <c r="AS12" i="1"/>
  <c r="AP4" i="1"/>
  <c r="AP8" i="1"/>
  <c r="AN58" i="1"/>
  <c r="AO24" i="1" l="1"/>
  <c r="AO20" i="1"/>
  <c r="AQ16" i="1"/>
  <c r="AQ12" i="1"/>
  <c r="AN18" i="1"/>
  <c r="AO4" i="1"/>
  <c r="AO8" i="1"/>
  <c r="AJ50" i="1"/>
  <c r="AJ42" i="1"/>
  <c r="AN24" i="1" l="1"/>
  <c r="AN20" i="1"/>
  <c r="AN4" i="1"/>
  <c r="AN8" i="1"/>
  <c r="AJ10" i="1" s="1"/>
  <c r="AP16" i="1"/>
  <c r="AP12" i="1"/>
  <c r="AJ34" i="1"/>
  <c r="AJ26" i="1"/>
  <c r="AL24" i="1" l="1"/>
  <c r="AL20" i="1"/>
  <c r="AO12" i="1"/>
  <c r="AO16" i="1"/>
  <c r="AL4" i="1"/>
  <c r="AL8" i="1"/>
  <c r="AJ58" i="1"/>
  <c r="AK24" i="1" l="1"/>
  <c r="AK20" i="1"/>
  <c r="AK4" i="1"/>
  <c r="AK8" i="1"/>
  <c r="AN12" i="1"/>
  <c r="AN16" i="1"/>
  <c r="AJ18" i="1" s="1"/>
  <c r="AF50" i="1"/>
  <c r="AF42" i="1"/>
  <c r="AJ20" i="1" l="1"/>
  <c r="AJ24" i="1"/>
  <c r="AJ8" i="1"/>
  <c r="AJ4" i="1"/>
  <c r="AL16" i="1"/>
  <c r="AL12" i="1"/>
  <c r="AV50" i="1"/>
  <c r="AR50" i="1"/>
  <c r="AY50" i="1"/>
  <c r="AV42" i="1"/>
  <c r="AR42" i="1"/>
  <c r="AY42" i="1"/>
  <c r="AF34" i="1"/>
  <c r="AI20" i="1" l="1"/>
  <c r="AI24" i="1"/>
  <c r="AK16" i="1"/>
  <c r="AK12" i="1"/>
  <c r="AI4" i="1"/>
  <c r="AI8" i="1"/>
  <c r="AF58" i="1"/>
  <c r="AR34" i="1"/>
  <c r="AV34" i="1"/>
  <c r="AY34" i="1"/>
  <c r="AG20" i="1" l="1"/>
  <c r="AG24" i="1"/>
  <c r="AJ16" i="1"/>
  <c r="AJ12" i="1"/>
  <c r="AG8" i="1"/>
  <c r="AG4" i="1"/>
  <c r="AV58" i="1"/>
  <c r="AR58" i="1"/>
  <c r="AY58" i="1"/>
  <c r="AF24" i="1" l="1"/>
  <c r="AF20" i="1"/>
  <c r="AI12" i="1"/>
  <c r="AI16" i="1"/>
  <c r="AF4" i="1"/>
  <c r="AF8" i="1"/>
  <c r="AE24" i="1" l="1"/>
  <c r="AE20" i="1"/>
  <c r="AE4" i="1"/>
  <c r="AE8" i="1"/>
  <c r="AG12" i="1"/>
  <c r="AG16" i="1"/>
  <c r="AD24" i="1" l="1"/>
  <c r="AD20" i="1"/>
  <c r="AF26" i="1" s="1"/>
  <c r="AF12" i="1"/>
  <c r="AF16" i="1"/>
  <c r="AD4" i="1"/>
  <c r="AF10" i="1" s="1"/>
  <c r="AD8" i="1"/>
  <c r="AX24" i="1" l="1"/>
  <c r="AR26" i="1" s="1"/>
  <c r="AV26" i="1"/>
  <c r="AY26" i="1"/>
  <c r="AX8" i="1"/>
  <c r="AR10" i="1" s="1"/>
  <c r="AV10" i="1"/>
  <c r="AY10" i="1"/>
  <c r="AE16" i="1"/>
  <c r="AE12" i="1"/>
  <c r="AD12" i="1" l="1"/>
  <c r="AF18" i="1" s="1"/>
  <c r="AD16" i="1"/>
  <c r="AX16" i="1" l="1"/>
  <c r="AR18" i="1" s="1"/>
  <c r="AY18" i="1"/>
  <c r="AV18" i="1"/>
</calcChain>
</file>

<file path=xl/sharedStrings.xml><?xml version="1.0" encoding="utf-8"?>
<sst xmlns="http://schemas.openxmlformats.org/spreadsheetml/2006/main" count="422" uniqueCount="74">
  <si>
    <t>A=</t>
  </si>
  <si>
    <t>С=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</si>
  <si>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</si>
  <si>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</si>
  <si>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</si>
  <si>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</si>
  <si>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</si>
  <si>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</si>
  <si>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</si>
  <si>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</si>
  <si>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</si>
  <si>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</si>
  <si>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</si>
  <si>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</si>
  <si>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</si>
  <si>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</si>
  <si>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</si>
  <si>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</si>
  <si>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</si>
  <si>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</si>
  <si>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</si>
  <si>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</si>
  <si>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</si>
  <si>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</si>
  <si>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</si>
  <si>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B1=</t>
  </si>
  <si>
    <t>B2=</t>
  </si>
  <si>
    <t>B3=</t>
  </si>
  <si>
    <t>B4=</t>
  </si>
  <si>
    <t>B5=</t>
  </si>
  <si>
    <t>B6=</t>
  </si>
  <si>
    <t>B7=</t>
  </si>
  <si>
    <t>-B1=</t>
  </si>
  <si>
    <t>B8=</t>
  </si>
  <si>
    <t>-B2=</t>
  </si>
  <si>
    <t>B9=</t>
  </si>
  <si>
    <t>-B3=</t>
  </si>
  <si>
    <t>B10=</t>
  </si>
  <si>
    <t>-B4=</t>
  </si>
  <si>
    <t>B11=</t>
  </si>
  <si>
    <t>-B5=</t>
  </si>
  <si>
    <t>B12=</t>
  </si>
  <si>
    <t>-B6=</t>
  </si>
  <si>
    <t>.</t>
  </si>
  <si>
    <t>B1</t>
  </si>
  <si>
    <t>B2</t>
  </si>
  <si>
    <t>+</t>
  </si>
  <si>
    <t>----</t>
  </si>
  <si>
    <t>---</t>
  </si>
  <si>
    <t>=</t>
  </si>
  <si>
    <t>X1</t>
  </si>
  <si>
    <t>X2</t>
  </si>
  <si>
    <t>---------------</t>
  </si>
  <si>
    <t>CF=</t>
  </si>
  <si>
    <t>PF=</t>
  </si>
  <si>
    <t>AF=</t>
  </si>
  <si>
    <t>ZF=</t>
  </si>
  <si>
    <t>SF=</t>
  </si>
  <si>
    <t>OF=</t>
  </si>
  <si>
    <t>B3</t>
  </si>
  <si>
    <t>B7</t>
  </si>
  <si>
    <t>B8</t>
  </si>
  <si>
    <t>B9</t>
  </si>
  <si>
    <t>B11</t>
  </si>
  <si>
    <t>X3</t>
  </si>
  <si>
    <t>X7</t>
  </si>
  <si>
    <t>X11</t>
  </si>
  <si>
    <t>X8</t>
  </si>
  <si>
    <t>X9</t>
  </si>
  <si>
    <t>Результат корректный</t>
  </si>
  <si>
    <t>При сложении положительных чисел получен отрицательный результат 
ПЕРЕПОЛНЕНИЕ!</t>
  </si>
  <si>
    <t>Результат корректный. Перенос из старшего разряда не учитывается.</t>
  </si>
  <si>
    <t>!=</t>
  </si>
  <si>
    <t>При сложение отрицательных чисел получен положительный результат        ПЕРЕПОЛНЕНИЕ!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</si>
</sst>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4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0" xfId="0" quotePrefix="1" applyFont="1" applyBorder="1"/>
    <xf numFmtId="0" fontId="1" fillId="0" borderId="0" xfId="0" quotePrefix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" xfId="0" quotePrefix="1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1" fillId="0" borderId="8" xfId="0" applyFont="1" applyBorder="1"/>
    <xf numFmtId="0" fontId="1" fillId="0" borderId="0" xfId="0" applyFont="1" applyAlignment="1"/>
    <xf numFmtId="0" fontId="1" fillId="3" borderId="0" xfId="0" applyFont="1" applyFill="1"/>
    <xf numFmtId="0" fontId="1" fillId="0" borderId="7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Набор</a:t>
            </a:r>
            <a:r>
              <a:rPr lang="ru-RU" baseline="0"/>
              <a:t> десятичных чисел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16-B444-B360-C877F17A90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16-B444-B360-C877F17A90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716-B444-B360-C877F17A90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716-B444-B360-C877F17A90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716-B444-B360-C877F17A90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716-B444-B360-C877F17A90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716-B444-B360-C877F17A90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716-B444-B360-C877F17A90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716-B444-B360-C877F17A90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716-B444-B360-C877F17A90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716-B444-B360-C877F17A90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716-B444-B360-C877F17A907F}"/>
              </c:ext>
            </c:extLst>
          </c:dPt>
          <c:cat>
            <c:numRef>
              <c:f>Лист1!$C$4:$C$15</c:f>
              <c:numCache>
                <c:formatCode>General</c:formatCode>
                <c:ptCount val="12"/>
                <c:pt idx="0">
                  <c:v>6006</c:v>
                </c:pt>
                <c:pt idx="1">
                  <c:v>24257</c:v>
                </c:pt>
                <c:pt idx="2">
                  <c:v>30263</c:v>
                </c:pt>
                <c:pt idx="3">
                  <c:v>54520</c:v>
                </c:pt>
                <c:pt idx="4">
                  <c:v>18251</c:v>
                </c:pt>
                <c:pt idx="5">
                  <c:v>11016</c:v>
                </c:pt>
                <c:pt idx="6">
                  <c:v>-6006</c:v>
                </c:pt>
                <c:pt idx="7">
                  <c:v>-24257</c:v>
                </c:pt>
                <c:pt idx="8">
                  <c:v>-30263</c:v>
                </c:pt>
                <c:pt idx="9">
                  <c:v>-54520</c:v>
                </c:pt>
                <c:pt idx="10">
                  <c:v>-18251</c:v>
                </c:pt>
                <c:pt idx="11">
                  <c:v>-11016</c:v>
                </c:pt>
              </c:numCache>
            </c:num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6006</c:v>
                </c:pt>
                <c:pt idx="1">
                  <c:v>24257</c:v>
                </c:pt>
                <c:pt idx="2">
                  <c:v>30263</c:v>
                </c:pt>
                <c:pt idx="3">
                  <c:v>54520</c:v>
                </c:pt>
                <c:pt idx="4">
                  <c:v>18251</c:v>
                </c:pt>
                <c:pt idx="5">
                  <c:v>11016</c:v>
                </c:pt>
                <c:pt idx="6">
                  <c:v>-6006</c:v>
                </c:pt>
                <c:pt idx="7">
                  <c:v>-24257</c:v>
                </c:pt>
                <c:pt idx="8">
                  <c:v>-30263</c:v>
                </c:pt>
                <c:pt idx="9">
                  <c:v>-54520</c:v>
                </c:pt>
                <c:pt idx="10">
                  <c:v>-18251</c:v>
                </c:pt>
                <c:pt idx="11">
                  <c:v>-11016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6-0948-9F17-760CFAA96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50799</xdr:colOff>
      <xdr:row>0</xdr:row>
      <xdr:rowOff>0</xdr:rowOff>
    </xdr:from>
    <xdr:to>
      <xdr:col>9</xdr:col>
      <xdr:colOff>706966</xdr:colOff>
      <xdr:row>23</xdr:row>
      <xdr:rowOff>177800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D628789-4A7D-1327-E314-8E2FAFB5D8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B9007-E959-9942-8F9A-B53956E6F9DC}">
  <sheetPr codeName="Лист1"/>
  <dimension ref="A1:BF58"/>
  <sheetViews>
    <sheetView tabSelected="1" zoomScale="116" zoomScaleNormal="75" workbookViewId="0"/>
  </sheetViews>
  <sheetFormatPr baseColWidth="10" defaultRowHeight="16" x14ac:dyDescent="0.2"/>
  <cols>
    <col min="1" max="5" width="10.83203125" style="1"/>
    <col min="6" max="6" width="10.33203125" style="1" customWidth="1"/>
    <col min="7" max="25" width="2.83203125" style="1" customWidth="1"/>
    <col min="26" max="26" width="10.83203125" style="1"/>
    <col min="27" max="49" width="3.83203125" style="1" customWidth="1"/>
    <col min="50" max="50" width="10.83203125" style="1"/>
    <col min="51" max="53" width="3.83203125" style="1" customWidth="1"/>
    <col min="54" max="16384" width="10.83203125" style="1"/>
  </cols>
  <sheetData>
    <row r="1" spans="1:58" x14ac:dyDescent="0.2">
      <c r="B1" s="1" t="s">
        <v>0</v>
      </c>
      <c r="C1" s="2">
        <v>6006</v>
      </c>
    </row>
    <row r="2" spans="1:58" x14ac:dyDescent="0.2">
      <c r="B2" s="1" t="s">
        <v>1</v>
      </c>
      <c r="C2" s="2">
        <v>24257</v>
      </c>
    </row>
    <row r="3" spans="1:58" x14ac:dyDescent="0.2">
      <c r="C3" s="2"/>
      <c r="Q3" s="2"/>
    </row>
    <row r="4" spans="1:58" x14ac:dyDescent="0.2">
      <c r="A4" s="1" t="s">
        <v>2</v>
      </c>
      <c r="B4" s="1" t="s">
        <v>0</v>
      </c>
      <c r="C4" s="2">
        <v>6006</v>
      </c>
      <c r="E4" s="1" t="s">
        <v>25</v>
      </c>
      <c r="G4" s="3">
        <f>IF(OR(AND(SIGN(C4)=-1, C4 &gt; -32769),C4&gt;32767),1,0)</f>
        <v>0</v>
      </c>
      <c r="H4" s="3">
        <f>MOD(INT(C4/16384),2)</f>
        <v>0</v>
      </c>
      <c r="I4" s="3">
        <f>MOD(INT(C4/8192),2)</f>
        <v>0</v>
      </c>
      <c r="J4" s="19">
        <f>MOD(INT(C4/4096),2)</f>
        <v>1</v>
      </c>
      <c r="K4" s="1" t="s">
        <v>43</v>
      </c>
      <c r="L4" s="3">
        <f>MOD(INT(C4/2048),2)</f>
        <v>0</v>
      </c>
      <c r="M4" s="19">
        <f>MOD(INT(C4/1024),2)</f>
        <v>1</v>
      </c>
      <c r="N4" s="19">
        <f>MOD(INT(C4/512),2)</f>
        <v>1</v>
      </c>
      <c r="O4" s="19">
        <f>MOD(INT(C4/256),2)</f>
        <v>1</v>
      </c>
      <c r="P4" s="1" t="s">
        <v>43</v>
      </c>
      <c r="Q4" s="3">
        <f>MOD(INT(C4/128),2)</f>
        <v>0</v>
      </c>
      <c r="R4" s="19">
        <f>MOD(INT(C4/64),2)</f>
        <v>1</v>
      </c>
      <c r="S4" s="19">
        <f>MOD(INT(C4/32),2)</f>
        <v>1</v>
      </c>
      <c r="T4" s="19">
        <f>MOD(INT(C4/16),2)</f>
        <v>1</v>
      </c>
      <c r="U4" s="1" t="s">
        <v>43</v>
      </c>
      <c r="V4" s="3">
        <f>MOD(INT(C4/8),2)</f>
        <v>0</v>
      </c>
      <c r="W4" s="19">
        <f>MOD(INT(C4/4),2)</f>
        <v>1</v>
      </c>
      <c r="X4" s="19">
        <f>MOD(INT(C4/2),2)</f>
        <v>1</v>
      </c>
      <c r="Y4" s="3">
        <f>MOD(INT(C4/1),2)</f>
        <v>0</v>
      </c>
      <c r="AA4" s="5"/>
      <c r="AB4" s="6"/>
      <c r="AC4" s="6"/>
      <c r="AD4" s="6">
        <f>INT((AD5+AD6+AE4)/2)</f>
        <v>0</v>
      </c>
      <c r="AE4" s="6">
        <f>INT((AE5+AE6+AF4)/2)</f>
        <v>0</v>
      </c>
      <c r="AF4" s="6">
        <f>INT((AF5+AF6+AG4)/2)</f>
        <v>0</v>
      </c>
      <c r="AG4" s="6">
        <f>INT((AG5+AG6+AI4)/2)</f>
        <v>1</v>
      </c>
      <c r="AH4" s="6" t="s">
        <v>43</v>
      </c>
      <c r="AI4" s="6">
        <f>INT((AI5+AI6+AJ4)/2)</f>
        <v>1</v>
      </c>
      <c r="AJ4" s="6">
        <f>INT((AJ5+AJ6+AK4)/2)</f>
        <v>1</v>
      </c>
      <c r="AK4" s="6">
        <f>INT((AK5+AK6+AL4)/2)</f>
        <v>1</v>
      </c>
      <c r="AL4" s="6">
        <f>INT((AL5+AL6+AN4)/2)</f>
        <v>1</v>
      </c>
      <c r="AM4" s="6" t="s">
        <v>43</v>
      </c>
      <c r="AN4" s="6">
        <f>INT((AN5+AN6+AO4)/2)</f>
        <v>1</v>
      </c>
      <c r="AO4" s="6">
        <f>INT((AO5+AO6+AP4)/2)</f>
        <v>1</v>
      </c>
      <c r="AP4" s="6">
        <f>INT((AP5+AP6+AQ4)/2)</f>
        <v>0</v>
      </c>
      <c r="AQ4" s="6">
        <f>INT((AQ5+AQ6+AS4)/2)</f>
        <v>0</v>
      </c>
      <c r="AR4" s="6" t="s">
        <v>43</v>
      </c>
      <c r="AS4" s="6">
        <f>INT((AS5+AS6+AT4)/2)</f>
        <v>0</v>
      </c>
      <c r="AT4" s="6">
        <f>INT((AT5+AT6+AU4)/2)</f>
        <v>0</v>
      </c>
      <c r="AU4" s="6">
        <f>INT((AU5+AU6+AV4)/2)</f>
        <v>0</v>
      </c>
      <c r="AV4" s="6">
        <f>INT((AV5+AV6)/2)</f>
        <v>0</v>
      </c>
      <c r="AW4" s="6"/>
      <c r="AX4" s="6"/>
      <c r="AY4" s="6"/>
      <c r="AZ4" s="6"/>
      <c r="BA4" s="6"/>
      <c r="BB4" s="7"/>
      <c r="BD4" s="21" t="s">
        <v>69</v>
      </c>
      <c r="BE4" s="21"/>
      <c r="BF4" s="21"/>
    </row>
    <row r="5" spans="1:58" x14ac:dyDescent="0.2">
      <c r="A5" s="1" t="s">
        <v>3</v>
      </c>
      <c r="B5" s="1" t="s">
        <v>14</v>
      </c>
      <c r="C5" s="2">
        <v>24257</v>
      </c>
      <c r="E5" s="1" t="s">
        <v>26</v>
      </c>
      <c r="G5" s="3">
        <f t="shared" ref="G5:G15" si="0">IF(OR(AND(SIGN(C5)=-1, C5 &gt; -32769),C5&gt;32767),1,0)</f>
        <v>0</v>
      </c>
      <c r="H5" s="19">
        <f t="shared" ref="H5:H9" si="1">MOD(INT(C5/16384),2)</f>
        <v>1</v>
      </c>
      <c r="I5" s="3">
        <f t="shared" ref="I5:I9" si="2">MOD(INT(C5/8192),2)</f>
        <v>0</v>
      </c>
      <c r="J5" s="19">
        <f t="shared" ref="J5:J9" si="3">MOD(INT(C5/4096),2)</f>
        <v>1</v>
      </c>
      <c r="K5" s="1" t="s">
        <v>43</v>
      </c>
      <c r="L5" s="19">
        <f t="shared" ref="L5:L7" si="4">MOD(INT(C5/2048),2)</f>
        <v>1</v>
      </c>
      <c r="M5" s="19">
        <f t="shared" ref="M5:M7" si="5">MOD(INT(C5/1024),2)</f>
        <v>1</v>
      </c>
      <c r="N5" s="19">
        <f t="shared" ref="N5:N7" si="6">MOD(INT(C5/512),2)</f>
        <v>1</v>
      </c>
      <c r="O5" s="3">
        <f t="shared" ref="O5:O7" si="7">MOD(INT(C5/256),2)</f>
        <v>0</v>
      </c>
      <c r="P5" s="1" t="s">
        <v>43</v>
      </c>
      <c r="Q5" s="19">
        <f t="shared" ref="Q5:Q7" si="8">MOD(INT(C5/128),2)</f>
        <v>1</v>
      </c>
      <c r="R5" s="19">
        <f t="shared" ref="R5:R7" si="9">MOD(INT(C5/64),2)</f>
        <v>1</v>
      </c>
      <c r="S5" s="3">
        <f t="shared" ref="S5:S7" si="10">MOD(INT(C5/32),2)</f>
        <v>0</v>
      </c>
      <c r="T5" s="3">
        <f t="shared" ref="T5:T7" si="11">MOD(INT(C5/16),2)</f>
        <v>0</v>
      </c>
      <c r="U5" s="1" t="s">
        <v>43</v>
      </c>
      <c r="V5" s="3">
        <f t="shared" ref="V5:V7" si="12">MOD(INT(C5/8),2)</f>
        <v>0</v>
      </c>
      <c r="W5" s="3">
        <f t="shared" ref="W5:W7" si="13">MOD(INT(C5/4),2)</f>
        <v>0</v>
      </c>
      <c r="X5" s="3">
        <f t="shared" ref="X5:X7" si="14">MOD(INT(C5/2),2)</f>
        <v>0</v>
      </c>
      <c r="Y5" s="19">
        <f t="shared" ref="Y5:Y7" si="15">MOD(INT(C5/1),2)</f>
        <v>1</v>
      </c>
      <c r="AA5" s="8"/>
      <c r="AB5" s="4" t="s">
        <v>44</v>
      </c>
      <c r="AC5" s="4"/>
      <c r="AD5" s="4">
        <f t="shared" ref="AD5:AG6" si="16">G4</f>
        <v>0</v>
      </c>
      <c r="AE5" s="4">
        <f t="shared" si="16"/>
        <v>0</v>
      </c>
      <c r="AF5" s="4">
        <f t="shared" si="16"/>
        <v>0</v>
      </c>
      <c r="AG5" s="4">
        <f t="shared" si="16"/>
        <v>1</v>
      </c>
      <c r="AH5" s="4" t="s">
        <v>43</v>
      </c>
      <c r="AI5" s="4">
        <f>L4</f>
        <v>0</v>
      </c>
      <c r="AJ5" s="4">
        <f t="shared" ref="AJ5:AL5" si="17">M4</f>
        <v>1</v>
      </c>
      <c r="AK5" s="4">
        <f t="shared" si="17"/>
        <v>1</v>
      </c>
      <c r="AL5" s="4">
        <f t="shared" si="17"/>
        <v>1</v>
      </c>
      <c r="AM5" s="4" t="s">
        <v>43</v>
      </c>
      <c r="AN5" s="4">
        <f>Q4</f>
        <v>0</v>
      </c>
      <c r="AO5" s="4">
        <f t="shared" ref="AO5:AQ5" si="18">R4</f>
        <v>1</v>
      </c>
      <c r="AP5" s="4">
        <f t="shared" si="18"/>
        <v>1</v>
      </c>
      <c r="AQ5" s="4">
        <f t="shared" si="18"/>
        <v>1</v>
      </c>
      <c r="AR5" s="4" t="s">
        <v>43</v>
      </c>
      <c r="AS5" s="4">
        <f t="shared" ref="AS5:AV6" si="19">V4</f>
        <v>0</v>
      </c>
      <c r="AT5" s="4">
        <f t="shared" si="19"/>
        <v>1</v>
      </c>
      <c r="AU5" s="4">
        <f t="shared" si="19"/>
        <v>1</v>
      </c>
      <c r="AV5" s="4">
        <f t="shared" si="19"/>
        <v>0</v>
      </c>
      <c r="AW5" s="4"/>
      <c r="AX5" s="4"/>
      <c r="AY5" s="4"/>
      <c r="AZ5" s="4" t="s">
        <v>50</v>
      </c>
      <c r="BA5" s="4"/>
      <c r="BB5" s="9">
        <f>C4</f>
        <v>6006</v>
      </c>
      <c r="BD5" s="21"/>
      <c r="BE5" s="21"/>
      <c r="BF5" s="21"/>
    </row>
    <row r="6" spans="1:58" x14ac:dyDescent="0.2">
      <c r="A6" s="1" t="s">
        <v>4</v>
      </c>
      <c r="B6" s="1" t="s">
        <v>15</v>
      </c>
      <c r="C6" s="2">
        <f>C4+C5</f>
        <v>30263</v>
      </c>
      <c r="E6" s="1" t="s">
        <v>27</v>
      </c>
      <c r="G6" s="3">
        <f t="shared" si="0"/>
        <v>0</v>
      </c>
      <c r="H6" s="19">
        <f t="shared" si="1"/>
        <v>1</v>
      </c>
      <c r="I6" s="19">
        <f t="shared" si="2"/>
        <v>1</v>
      </c>
      <c r="J6" s="19">
        <f t="shared" si="3"/>
        <v>1</v>
      </c>
      <c r="K6" s="1" t="s">
        <v>43</v>
      </c>
      <c r="L6" s="3">
        <f t="shared" si="4"/>
        <v>0</v>
      </c>
      <c r="M6" s="19">
        <f t="shared" si="5"/>
        <v>1</v>
      </c>
      <c r="N6" s="19">
        <f t="shared" si="6"/>
        <v>1</v>
      </c>
      <c r="O6" s="3">
        <f t="shared" si="7"/>
        <v>0</v>
      </c>
      <c r="P6" s="1" t="s">
        <v>43</v>
      </c>
      <c r="Q6" s="3">
        <f t="shared" si="8"/>
        <v>0</v>
      </c>
      <c r="R6" s="3">
        <f t="shared" si="9"/>
        <v>0</v>
      </c>
      <c r="S6" s="19">
        <f t="shared" si="10"/>
        <v>1</v>
      </c>
      <c r="T6" s="19">
        <f t="shared" si="11"/>
        <v>1</v>
      </c>
      <c r="U6" s="1" t="s">
        <v>43</v>
      </c>
      <c r="V6" s="3">
        <f t="shared" si="12"/>
        <v>0</v>
      </c>
      <c r="W6" s="19">
        <f t="shared" si="13"/>
        <v>1</v>
      </c>
      <c r="X6" s="19">
        <f t="shared" si="14"/>
        <v>1</v>
      </c>
      <c r="Y6" s="19">
        <f t="shared" si="15"/>
        <v>1</v>
      </c>
      <c r="AA6" s="8" t="s">
        <v>46</v>
      </c>
      <c r="AB6" s="4" t="s">
        <v>45</v>
      </c>
      <c r="AC6" s="4"/>
      <c r="AD6" s="4">
        <f t="shared" si="16"/>
        <v>0</v>
      </c>
      <c r="AE6" s="4">
        <f t="shared" si="16"/>
        <v>1</v>
      </c>
      <c r="AF6" s="4">
        <f t="shared" si="16"/>
        <v>0</v>
      </c>
      <c r="AG6" s="4">
        <f t="shared" si="16"/>
        <v>1</v>
      </c>
      <c r="AH6" s="4" t="s">
        <v>43</v>
      </c>
      <c r="AI6" s="4">
        <f>L5</f>
        <v>1</v>
      </c>
      <c r="AJ6" s="4">
        <f t="shared" ref="AJ6" si="20">M5</f>
        <v>1</v>
      </c>
      <c r="AK6" s="4">
        <f t="shared" ref="AK6" si="21">N5</f>
        <v>1</v>
      </c>
      <c r="AL6" s="4">
        <f t="shared" ref="AL6" si="22">O5</f>
        <v>0</v>
      </c>
      <c r="AM6" s="4" t="s">
        <v>43</v>
      </c>
      <c r="AN6" s="4">
        <f>Q5</f>
        <v>1</v>
      </c>
      <c r="AO6" s="4">
        <f t="shared" ref="AO6" si="23">R5</f>
        <v>1</v>
      </c>
      <c r="AP6" s="4">
        <f t="shared" ref="AP6" si="24">S5</f>
        <v>0</v>
      </c>
      <c r="AQ6" s="4">
        <f t="shared" ref="AQ6" si="25">T5</f>
        <v>0</v>
      </c>
      <c r="AR6" s="4" t="s">
        <v>43</v>
      </c>
      <c r="AS6" s="4">
        <f t="shared" si="19"/>
        <v>0</v>
      </c>
      <c r="AT6" s="4">
        <f t="shared" si="19"/>
        <v>0</v>
      </c>
      <c r="AU6" s="4">
        <f t="shared" si="19"/>
        <v>0</v>
      </c>
      <c r="AV6" s="4">
        <f t="shared" si="19"/>
        <v>1</v>
      </c>
      <c r="AW6" s="4"/>
      <c r="AX6" s="4"/>
      <c r="AY6" s="4" t="s">
        <v>46</v>
      </c>
      <c r="AZ6" s="4" t="s">
        <v>51</v>
      </c>
      <c r="BA6" s="4"/>
      <c r="BB6" s="9">
        <f>C5</f>
        <v>24257</v>
      </c>
      <c r="BD6" s="21"/>
      <c r="BE6" s="21"/>
      <c r="BF6" s="21"/>
    </row>
    <row r="7" spans="1:58" x14ac:dyDescent="0.2">
      <c r="A7" s="1" t="s">
        <v>5</v>
      </c>
      <c r="B7" s="1" t="s">
        <v>16</v>
      </c>
      <c r="C7" s="2">
        <f>C6+C5</f>
        <v>54520</v>
      </c>
      <c r="E7" s="1" t="s">
        <v>28</v>
      </c>
      <c r="G7" s="19">
        <f t="shared" si="0"/>
        <v>1</v>
      </c>
      <c r="H7" s="19">
        <f t="shared" si="1"/>
        <v>1</v>
      </c>
      <c r="I7" s="3">
        <f t="shared" si="2"/>
        <v>0</v>
      </c>
      <c r="J7" s="19">
        <f t="shared" si="3"/>
        <v>1</v>
      </c>
      <c r="K7" s="1" t="s">
        <v>43</v>
      </c>
      <c r="L7" s="3">
        <f t="shared" si="4"/>
        <v>0</v>
      </c>
      <c r="M7" s="19">
        <f t="shared" si="5"/>
        <v>1</v>
      </c>
      <c r="N7" s="3">
        <f t="shared" si="6"/>
        <v>0</v>
      </c>
      <c r="O7" s="3">
        <f t="shared" si="7"/>
        <v>0</v>
      </c>
      <c r="P7" s="1" t="s">
        <v>43</v>
      </c>
      <c r="Q7" s="19">
        <f t="shared" si="8"/>
        <v>1</v>
      </c>
      <c r="R7" s="19">
        <f t="shared" si="9"/>
        <v>1</v>
      </c>
      <c r="S7" s="19">
        <f t="shared" si="10"/>
        <v>1</v>
      </c>
      <c r="T7" s="19">
        <f t="shared" si="11"/>
        <v>1</v>
      </c>
      <c r="U7" s="1" t="s">
        <v>43</v>
      </c>
      <c r="V7" s="19">
        <f t="shared" si="12"/>
        <v>1</v>
      </c>
      <c r="W7" s="3">
        <f t="shared" si="13"/>
        <v>0</v>
      </c>
      <c r="X7" s="3">
        <f t="shared" si="14"/>
        <v>0</v>
      </c>
      <c r="Y7" s="3">
        <f t="shared" si="15"/>
        <v>0</v>
      </c>
      <c r="AA7" s="8"/>
      <c r="AB7" s="10" t="s">
        <v>47</v>
      </c>
      <c r="AC7" s="4"/>
      <c r="AD7" s="11" t="s">
        <v>48</v>
      </c>
      <c r="AE7" s="11" t="s">
        <v>48</v>
      </c>
      <c r="AF7" s="11" t="s">
        <v>48</v>
      </c>
      <c r="AG7" s="11" t="s">
        <v>48</v>
      </c>
      <c r="AH7" s="11" t="s">
        <v>48</v>
      </c>
      <c r="AI7" s="11" t="s">
        <v>48</v>
      </c>
      <c r="AJ7" s="11" t="s">
        <v>48</v>
      </c>
      <c r="AK7" s="11" t="s">
        <v>48</v>
      </c>
      <c r="AL7" s="11" t="s">
        <v>48</v>
      </c>
      <c r="AM7" s="11" t="s">
        <v>48</v>
      </c>
      <c r="AN7" s="11" t="s">
        <v>48</v>
      </c>
      <c r="AO7" s="11" t="s">
        <v>48</v>
      </c>
      <c r="AP7" s="11" t="s">
        <v>48</v>
      </c>
      <c r="AQ7" s="11" t="s">
        <v>48</v>
      </c>
      <c r="AR7" s="11" t="s">
        <v>48</v>
      </c>
      <c r="AS7" s="11" t="s">
        <v>48</v>
      </c>
      <c r="AT7" s="11" t="s">
        <v>48</v>
      </c>
      <c r="AU7" s="11" t="s">
        <v>48</v>
      </c>
      <c r="AV7" s="11" t="s">
        <v>48</v>
      </c>
      <c r="AW7" s="4"/>
      <c r="AX7" s="4"/>
      <c r="AY7" s="12"/>
      <c r="AZ7" s="11" t="s">
        <v>48</v>
      </c>
      <c r="BA7" s="11" t="s">
        <v>48</v>
      </c>
      <c r="BB7" s="13" t="s">
        <v>52</v>
      </c>
      <c r="BD7" s="21"/>
      <c r="BE7" s="21"/>
      <c r="BF7" s="21"/>
    </row>
    <row r="8" spans="1:58" x14ac:dyDescent="0.2">
      <c r="A8" s="1" t="s">
        <v>6</v>
      </c>
      <c r="B8" s="1" t="s">
        <v>17</v>
      </c>
      <c r="C8" s="2">
        <f>C5-C4</f>
        <v>18251</v>
      </c>
      <c r="E8" s="1" t="s">
        <v>29</v>
      </c>
      <c r="G8" s="2">
        <f t="shared" si="0"/>
        <v>0</v>
      </c>
      <c r="H8" s="1">
        <f t="shared" si="1"/>
        <v>1</v>
      </c>
      <c r="I8" s="1">
        <f t="shared" si="2"/>
        <v>0</v>
      </c>
      <c r="J8" s="1">
        <f t="shared" si="3"/>
        <v>0</v>
      </c>
      <c r="K8" s="1" t="s">
        <v>43</v>
      </c>
      <c r="L8" s="1">
        <f t="shared" ref="L8:L9" si="26">MOD(INT(C8/2048),2)</f>
        <v>0</v>
      </c>
      <c r="M8" s="1">
        <f t="shared" ref="M8:M9" si="27">MOD(INT(C8/1024),2)</f>
        <v>1</v>
      </c>
      <c r="N8" s="1">
        <f t="shared" ref="N8:N9" si="28">MOD(INT(C8/512),2)</f>
        <v>1</v>
      </c>
      <c r="O8" s="1">
        <f t="shared" ref="O8:O9" si="29">MOD(INT(C8/256),2)</f>
        <v>1</v>
      </c>
      <c r="P8" s="1" t="s">
        <v>43</v>
      </c>
      <c r="Q8" s="1">
        <f t="shared" ref="Q8:Q9" si="30">MOD(INT(C8/128),2)</f>
        <v>0</v>
      </c>
      <c r="R8" s="1">
        <f t="shared" ref="R8:R9" si="31">MOD(INT(C8/64),2)</f>
        <v>1</v>
      </c>
      <c r="S8" s="1">
        <f t="shared" ref="S8:S9" si="32">MOD(INT(C8/32),2)</f>
        <v>0</v>
      </c>
      <c r="T8" s="1">
        <f t="shared" ref="T8:T9" si="33">MOD(INT(C8/16),2)</f>
        <v>0</v>
      </c>
      <c r="U8" s="1" t="s">
        <v>43</v>
      </c>
      <c r="V8" s="1">
        <f t="shared" ref="V8:V9" si="34">MOD(INT(C8/8),2)</f>
        <v>1</v>
      </c>
      <c r="W8" s="1">
        <f t="shared" ref="W8:W9" si="35">MOD(INT(C8/4),2)</f>
        <v>0</v>
      </c>
      <c r="X8" s="1">
        <f t="shared" ref="X8:X9" si="36">MOD(INT(C8/2),2)</f>
        <v>1</v>
      </c>
      <c r="Y8" s="1">
        <f t="shared" ref="Y8:Y9" si="37">MOD(INT(C8/1),2)</f>
        <v>1</v>
      </c>
      <c r="AA8" s="8"/>
      <c r="AB8" s="4"/>
      <c r="AC8" s="4"/>
      <c r="AD8" s="4">
        <f>MOD(AD5+AD6+AE4,2)</f>
        <v>0</v>
      </c>
      <c r="AE8" s="4">
        <f>MOD(AE5+AE6+AF4,2)</f>
        <v>1</v>
      </c>
      <c r="AF8" s="4">
        <f>MOD(AF5+AF6+AG4,2)</f>
        <v>1</v>
      </c>
      <c r="AG8" s="4">
        <f>MOD(AG5+AG6+AI4,2)</f>
        <v>1</v>
      </c>
      <c r="AH8" s="4" t="s">
        <v>43</v>
      </c>
      <c r="AI8" s="4">
        <f>MOD(AI5+AI6+AJ4,2)</f>
        <v>0</v>
      </c>
      <c r="AJ8" s="4">
        <f>MOD(AJ5+AJ6+AK4,2)</f>
        <v>1</v>
      </c>
      <c r="AK8" s="4">
        <f>MOD(AK5+AK6+AL4,2)</f>
        <v>1</v>
      </c>
      <c r="AL8" s="4">
        <f>MOD(AL5+AL6+AN4,2)</f>
        <v>0</v>
      </c>
      <c r="AM8" s="4" t="s">
        <v>43</v>
      </c>
      <c r="AN8" s="4">
        <f>MOD(AN5+AN6+AO4,2)</f>
        <v>0</v>
      </c>
      <c r="AO8" s="4">
        <f>MOD(AO5+AO6+AP4,2)</f>
        <v>0</v>
      </c>
      <c r="AP8" s="4">
        <f>MOD(AP5+AP6+AQ4,2)</f>
        <v>1</v>
      </c>
      <c r="AQ8" s="4">
        <f>MOD(AQ5+AQ6+AS4,2)</f>
        <v>1</v>
      </c>
      <c r="AR8" s="4" t="s">
        <v>43</v>
      </c>
      <c r="AS8" s="4">
        <f>MOD(AS5+AS6+AT4,2)</f>
        <v>0</v>
      </c>
      <c r="AT8" s="4">
        <f>MOD(AT5+AT6+AU4,2)</f>
        <v>1</v>
      </c>
      <c r="AU8" s="4">
        <f>MOD(AU5+AU6+AV4,2)</f>
        <v>1</v>
      </c>
      <c r="AV8" s="4">
        <f>MOD(AV5+AV6,2)</f>
        <v>1</v>
      </c>
      <c r="AW8" s="4"/>
      <c r="AX8" s="4">
        <f>AD8*(-32768)+AE8*16384+AF8*8192+AG8*4096+AI8*2048+AJ8*1024+AK8*512+AL8*256+AN8*128+AO8*64+AP8*32+AQ8*16+AS8*8+AT8*4+AU8*2+AV8</f>
        <v>30263</v>
      </c>
      <c r="AY8" s="12" t="s">
        <v>49</v>
      </c>
      <c r="AZ8" s="4"/>
      <c r="BA8" s="4"/>
      <c r="BB8" s="9">
        <f>BB5+BB6</f>
        <v>30263</v>
      </c>
      <c r="BD8" s="21"/>
      <c r="BE8" s="21"/>
      <c r="BF8" s="21"/>
    </row>
    <row r="9" spans="1:58" x14ac:dyDescent="0.2">
      <c r="A9" s="1" t="s">
        <v>7</v>
      </c>
      <c r="B9" s="1" t="s">
        <v>18</v>
      </c>
      <c r="C9" s="2">
        <f>65536-C7</f>
        <v>11016</v>
      </c>
      <c r="E9" s="1" t="s">
        <v>30</v>
      </c>
      <c r="G9" s="2">
        <f t="shared" si="0"/>
        <v>0</v>
      </c>
      <c r="H9" s="1">
        <f t="shared" si="1"/>
        <v>0</v>
      </c>
      <c r="I9" s="1">
        <f t="shared" si="2"/>
        <v>1</v>
      </c>
      <c r="J9" s="1">
        <f t="shared" si="3"/>
        <v>0</v>
      </c>
      <c r="K9" s="1" t="s">
        <v>43</v>
      </c>
      <c r="L9" s="1">
        <f t="shared" si="26"/>
        <v>1</v>
      </c>
      <c r="M9" s="1">
        <f t="shared" si="27"/>
        <v>0</v>
      </c>
      <c r="N9" s="1">
        <f t="shared" si="28"/>
        <v>1</v>
      </c>
      <c r="O9" s="1">
        <f t="shared" si="29"/>
        <v>1</v>
      </c>
      <c r="P9" s="1" t="s">
        <v>43</v>
      </c>
      <c r="Q9" s="1">
        <f t="shared" si="30"/>
        <v>0</v>
      </c>
      <c r="R9" s="1">
        <f t="shared" si="31"/>
        <v>0</v>
      </c>
      <c r="S9" s="1">
        <f t="shared" si="32"/>
        <v>0</v>
      </c>
      <c r="T9" s="1">
        <f t="shared" si="33"/>
        <v>0</v>
      </c>
      <c r="U9" s="1" t="s">
        <v>43</v>
      </c>
      <c r="V9" s="1">
        <f t="shared" si="34"/>
        <v>1</v>
      </c>
      <c r="W9" s="1">
        <f t="shared" si="35"/>
        <v>0</v>
      </c>
      <c r="X9" s="1">
        <f t="shared" si="36"/>
        <v>0</v>
      </c>
      <c r="Y9" s="1">
        <f t="shared" si="37"/>
        <v>0</v>
      </c>
      <c r="AA9" s="8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9"/>
      <c r="BD9" s="21"/>
      <c r="BE9" s="21"/>
      <c r="BF9" s="21"/>
    </row>
    <row r="10" spans="1:58" x14ac:dyDescent="0.2">
      <c r="A10" s="1" t="s">
        <v>8</v>
      </c>
      <c r="B10" s="1" t="s">
        <v>19</v>
      </c>
      <c r="C10" s="2">
        <f t="shared" ref="C10:C15" si="38">-C4</f>
        <v>-6006</v>
      </c>
      <c r="E10" s="1" t="s">
        <v>31</v>
      </c>
      <c r="F10" s="1" t="s">
        <v>32</v>
      </c>
      <c r="G10" s="2">
        <f t="shared" si="0"/>
        <v>1</v>
      </c>
      <c r="H10" s="1">
        <f>MOD(INT(65536+C10/16384),2)</f>
        <v>1</v>
      </c>
      <c r="I10" s="1">
        <f>MOD(INT(65536+C10/8192),2)</f>
        <v>1</v>
      </c>
      <c r="J10" s="1">
        <f>MOD(INT(65536+C10/4096),2)</f>
        <v>0</v>
      </c>
      <c r="K10" s="1" t="s">
        <v>43</v>
      </c>
      <c r="L10" s="1">
        <f>MOD(INT(65536+C10/2048),2)</f>
        <v>1</v>
      </c>
      <c r="M10" s="1">
        <f>MOD(INT(65536+C10/1024),2)</f>
        <v>0</v>
      </c>
      <c r="N10" s="1">
        <f>MOD(INT(65536+C10/512),2)</f>
        <v>0</v>
      </c>
      <c r="O10" s="1">
        <f>MOD(INT(65536+C10/256),2)</f>
        <v>0</v>
      </c>
      <c r="P10" s="1" t="s">
        <v>43</v>
      </c>
      <c r="Q10" s="1">
        <f>MOD(INT(65536+C10/128),2)</f>
        <v>1</v>
      </c>
      <c r="R10" s="1">
        <f>MOD(INT(65536+C10/64),2)</f>
        <v>0</v>
      </c>
      <c r="S10" s="1">
        <f>MOD(INT(65536+C10/32),2)</f>
        <v>0</v>
      </c>
      <c r="T10" s="1">
        <f>MOD(INT(65536+C10/16),2)</f>
        <v>0</v>
      </c>
      <c r="U10" s="1" t="s">
        <v>43</v>
      </c>
      <c r="V10" s="1">
        <f>MOD(INT(65536+C10/8),2)</f>
        <v>1</v>
      </c>
      <c r="W10" s="1">
        <f>MOD(INT(65536+C10/4),2)</f>
        <v>0</v>
      </c>
      <c r="X10" s="1">
        <f>MOD(INT(65536+C10/2),2)</f>
        <v>1</v>
      </c>
      <c r="Y10" s="1">
        <f>MOD(INT(65536+C10/1),2)</f>
        <v>0</v>
      </c>
      <c r="AA10" s="14"/>
      <c r="AB10" s="15"/>
      <c r="AC10" s="15"/>
      <c r="AD10" s="20" t="s">
        <v>53</v>
      </c>
      <c r="AE10" s="20"/>
      <c r="AF10" s="15">
        <f>AD4</f>
        <v>0</v>
      </c>
      <c r="AG10" s="15"/>
      <c r="AH10" s="20" t="s">
        <v>54</v>
      </c>
      <c r="AI10" s="20"/>
      <c r="AJ10" s="15">
        <f>IF(MOD(SUM(AS8:AV8)+SUM(AN8:AQ8),2)=0,1,0)</f>
        <v>0</v>
      </c>
      <c r="AK10" s="15"/>
      <c r="AL10" s="20" t="s">
        <v>55</v>
      </c>
      <c r="AM10" s="20"/>
      <c r="AN10" s="15">
        <f>AS4</f>
        <v>0</v>
      </c>
      <c r="AO10" s="15"/>
      <c r="AP10" s="20" t="s">
        <v>56</v>
      </c>
      <c r="AQ10" s="20"/>
      <c r="AR10" s="15">
        <f>IF(AX8=0,1,0)</f>
        <v>0</v>
      </c>
      <c r="AS10" s="15"/>
      <c r="AT10" s="20" t="s">
        <v>57</v>
      </c>
      <c r="AU10" s="20"/>
      <c r="AV10" s="15">
        <f>AD8</f>
        <v>0</v>
      </c>
      <c r="AW10" s="15"/>
      <c r="AX10" s="16" t="s">
        <v>58</v>
      </c>
      <c r="AY10" s="15">
        <f>IF(OR(AND(AD5=0,AD6=0,AD8=1),AND(AD5=1,AD6=1,AD8=0)),1,0)</f>
        <v>0</v>
      </c>
      <c r="AZ10" s="15"/>
      <c r="BA10" s="15"/>
      <c r="BB10" s="17"/>
      <c r="BD10" s="21"/>
      <c r="BE10" s="21"/>
      <c r="BF10" s="21"/>
    </row>
    <row r="11" spans="1:58" x14ac:dyDescent="0.2">
      <c r="A11" s="1" t="s">
        <v>9</v>
      </c>
      <c r="B11" s="1" t="s">
        <v>20</v>
      </c>
      <c r="C11" s="2">
        <f t="shared" si="38"/>
        <v>-24257</v>
      </c>
      <c r="E11" s="1" t="s">
        <v>33</v>
      </c>
      <c r="F11" s="1" t="s">
        <v>34</v>
      </c>
      <c r="G11" s="2">
        <f t="shared" si="0"/>
        <v>1</v>
      </c>
      <c r="H11" s="1">
        <f t="shared" ref="H11:H15" si="39">MOD(INT(65536+C11/16384),2)</f>
        <v>0</v>
      </c>
      <c r="I11" s="1">
        <f t="shared" ref="I11:I15" si="40">MOD(INT(65536+C11/8192),2)</f>
        <v>1</v>
      </c>
      <c r="J11" s="1">
        <f t="shared" ref="J11:J15" si="41">MOD(INT(65536+C11/4096),2)</f>
        <v>0</v>
      </c>
      <c r="K11" s="1" t="s">
        <v>43</v>
      </c>
      <c r="L11" s="1">
        <f t="shared" ref="L11:L15" si="42">MOD(INT(65536+C11/2048),2)</f>
        <v>0</v>
      </c>
      <c r="M11" s="1">
        <f t="shared" ref="M11:M15" si="43">MOD(INT(65536+C11/1024),2)</f>
        <v>0</v>
      </c>
      <c r="N11" s="1">
        <f t="shared" ref="N11:N15" si="44">MOD(INT(65536+C11/512),2)</f>
        <v>0</v>
      </c>
      <c r="O11" s="1">
        <f t="shared" ref="O11:O15" si="45">MOD(INT(65536+C11/256),2)</f>
        <v>1</v>
      </c>
      <c r="P11" s="1" t="s">
        <v>43</v>
      </c>
      <c r="Q11" s="1">
        <f t="shared" ref="Q11:Q15" si="46">MOD(INT(65536+C11/128),2)</f>
        <v>0</v>
      </c>
      <c r="R11" s="1">
        <f t="shared" ref="R11:R15" si="47">MOD(INT(65536+C11/64),2)</f>
        <v>0</v>
      </c>
      <c r="S11" s="1">
        <f t="shared" ref="S11:S15" si="48">MOD(INT(65536+C11/32),2)</f>
        <v>1</v>
      </c>
      <c r="T11" s="1">
        <f t="shared" ref="T11:T15" si="49">MOD(INT(65536+C11/16),2)</f>
        <v>1</v>
      </c>
      <c r="U11" s="1" t="s">
        <v>43</v>
      </c>
      <c r="V11" s="1">
        <f t="shared" ref="V11:V15" si="50">MOD(INT(65536+C11/8),2)</f>
        <v>1</v>
      </c>
      <c r="W11" s="1">
        <f t="shared" ref="W11:W15" si="51">MOD(INT(65536+C11/4),2)</f>
        <v>1</v>
      </c>
      <c r="X11" s="1">
        <f t="shared" ref="X11:X15" si="52">MOD(INT(65536+C11/2),2)</f>
        <v>1</v>
      </c>
      <c r="Y11" s="1">
        <f t="shared" ref="Y11:Y15" si="53">MOD(INT(65536+C11/1),2)</f>
        <v>1</v>
      </c>
    </row>
    <row r="12" spans="1:58" x14ac:dyDescent="0.2">
      <c r="A12" s="1" t="s">
        <v>10</v>
      </c>
      <c r="B12" s="1" t="s">
        <v>21</v>
      </c>
      <c r="C12" s="2">
        <f t="shared" si="38"/>
        <v>-30263</v>
      </c>
      <c r="E12" s="1" t="s">
        <v>35</v>
      </c>
      <c r="F12" s="1" t="s">
        <v>36</v>
      </c>
      <c r="G12" s="2">
        <f t="shared" si="0"/>
        <v>1</v>
      </c>
      <c r="H12" s="1">
        <f t="shared" si="39"/>
        <v>0</v>
      </c>
      <c r="I12" s="1">
        <f t="shared" si="40"/>
        <v>0</v>
      </c>
      <c r="J12" s="1">
        <f t="shared" si="41"/>
        <v>0</v>
      </c>
      <c r="K12" s="1" t="s">
        <v>43</v>
      </c>
      <c r="L12" s="1">
        <f t="shared" si="42"/>
        <v>1</v>
      </c>
      <c r="M12" s="1">
        <f t="shared" si="43"/>
        <v>0</v>
      </c>
      <c r="N12" s="1">
        <f t="shared" si="44"/>
        <v>0</v>
      </c>
      <c r="O12" s="1">
        <f t="shared" si="45"/>
        <v>1</v>
      </c>
      <c r="P12" s="1" t="s">
        <v>43</v>
      </c>
      <c r="Q12" s="1">
        <f t="shared" si="46"/>
        <v>1</v>
      </c>
      <c r="R12" s="1">
        <f t="shared" si="47"/>
        <v>1</v>
      </c>
      <c r="S12" s="1">
        <f t="shared" si="48"/>
        <v>0</v>
      </c>
      <c r="T12" s="1">
        <f t="shared" si="49"/>
        <v>0</v>
      </c>
      <c r="U12" s="1" t="s">
        <v>43</v>
      </c>
      <c r="V12" s="1">
        <f t="shared" si="50"/>
        <v>1</v>
      </c>
      <c r="W12" s="1">
        <f t="shared" si="51"/>
        <v>0</v>
      </c>
      <c r="X12" s="1">
        <f t="shared" si="52"/>
        <v>0</v>
      </c>
      <c r="Y12" s="1">
        <f t="shared" si="53"/>
        <v>1</v>
      </c>
      <c r="AA12" s="5"/>
      <c r="AB12" s="6"/>
      <c r="AC12" s="6"/>
      <c r="AD12" s="6">
        <f>INT((AD13+AD14+AE12)/2)</f>
        <v>0</v>
      </c>
      <c r="AE12" s="6">
        <f>INT((AE13+AE14+AF12)/2)</f>
        <v>1</v>
      </c>
      <c r="AF12" s="6">
        <f>INT((AF13+AF14+AG12)/2)</f>
        <v>1</v>
      </c>
      <c r="AG12" s="6">
        <f>INT((AG13+AG14+AI12)/2)</f>
        <v>1</v>
      </c>
      <c r="AH12" s="6" t="s">
        <v>43</v>
      </c>
      <c r="AI12" s="6">
        <f>INT((AI13+AI14+AJ12)/2)</f>
        <v>1</v>
      </c>
      <c r="AJ12" s="6">
        <f>INT((AJ13+AJ14+AK12)/2)</f>
        <v>1</v>
      </c>
      <c r="AK12" s="6">
        <f>INT((AK13+AK14+AL12)/2)</f>
        <v>1</v>
      </c>
      <c r="AL12" s="6">
        <f>INT((AL13+AL14+AN12)/2)</f>
        <v>0</v>
      </c>
      <c r="AM12" s="6" t="s">
        <v>43</v>
      </c>
      <c r="AN12" s="6">
        <f>INT((AN13+AN14+AO12)/2)</f>
        <v>0</v>
      </c>
      <c r="AO12" s="6">
        <f>INT((AO13+AO14+AP12)/2)</f>
        <v>0</v>
      </c>
      <c r="AP12" s="6">
        <f>INT((AP13+AP14+AQ12)/2)</f>
        <v>0</v>
      </c>
      <c r="AQ12" s="6">
        <f>INT((AQ13+AQ14+AS12)/2)</f>
        <v>0</v>
      </c>
      <c r="AR12" s="6" t="s">
        <v>43</v>
      </c>
      <c r="AS12" s="6">
        <f>INT((AS13+AS14+AT12)/2)</f>
        <v>0</v>
      </c>
      <c r="AT12" s="6">
        <f>INT((AT13+AT14+AU12)/2)</f>
        <v>1</v>
      </c>
      <c r="AU12" s="6">
        <f>INT((AU13+AU14+AV12)/2)</f>
        <v>1</v>
      </c>
      <c r="AV12" s="6">
        <f>INT((AV13+AV14)/2)</f>
        <v>1</v>
      </c>
      <c r="AW12" s="6"/>
      <c r="AX12" s="6"/>
      <c r="AY12" s="6"/>
      <c r="AZ12" s="6"/>
      <c r="BA12" s="6"/>
      <c r="BB12" s="7"/>
      <c r="BD12" s="22" t="s">
        <v>70</v>
      </c>
      <c r="BE12" s="22"/>
      <c r="BF12" s="22"/>
    </row>
    <row r="13" spans="1:58" x14ac:dyDescent="0.2">
      <c r="A13" s="1" t="s">
        <v>11</v>
      </c>
      <c r="B13" s="1" t="s">
        <v>22</v>
      </c>
      <c r="C13" s="2">
        <f t="shared" si="38"/>
        <v>-54520</v>
      </c>
      <c r="E13" s="1" t="s">
        <v>37</v>
      </c>
      <c r="F13" s="1" t="s">
        <v>38</v>
      </c>
      <c r="G13" s="2">
        <f t="shared" si="0"/>
        <v>0</v>
      </c>
      <c r="H13" s="1">
        <f t="shared" si="39"/>
        <v>0</v>
      </c>
      <c r="I13" s="1">
        <f t="shared" si="40"/>
        <v>1</v>
      </c>
      <c r="J13" s="1">
        <f t="shared" si="41"/>
        <v>0</v>
      </c>
      <c r="K13" s="1" t="s">
        <v>43</v>
      </c>
      <c r="L13" s="1">
        <f t="shared" si="42"/>
        <v>1</v>
      </c>
      <c r="M13" s="1">
        <f t="shared" si="43"/>
        <v>0</v>
      </c>
      <c r="N13" s="1">
        <f t="shared" si="44"/>
        <v>1</v>
      </c>
      <c r="O13" s="1">
        <f t="shared" si="45"/>
        <v>1</v>
      </c>
      <c r="P13" s="1" t="s">
        <v>43</v>
      </c>
      <c r="Q13" s="1">
        <f t="shared" si="46"/>
        <v>0</v>
      </c>
      <c r="R13" s="1">
        <f t="shared" si="47"/>
        <v>0</v>
      </c>
      <c r="S13" s="1">
        <f t="shared" si="48"/>
        <v>0</v>
      </c>
      <c r="T13" s="1">
        <f t="shared" si="49"/>
        <v>0</v>
      </c>
      <c r="U13" s="1" t="s">
        <v>43</v>
      </c>
      <c r="V13" s="1">
        <f t="shared" si="50"/>
        <v>1</v>
      </c>
      <c r="W13" s="1">
        <f t="shared" si="51"/>
        <v>0</v>
      </c>
      <c r="X13" s="1">
        <f t="shared" si="52"/>
        <v>0</v>
      </c>
      <c r="Y13" s="1">
        <f t="shared" si="53"/>
        <v>0</v>
      </c>
      <c r="AA13" s="8"/>
      <c r="AB13" s="4" t="s">
        <v>45</v>
      </c>
      <c r="AC13" s="4"/>
      <c r="AD13" s="4">
        <f t="shared" ref="AD13:AG14" si="54">G5</f>
        <v>0</v>
      </c>
      <c r="AE13" s="4">
        <f t="shared" si="54"/>
        <v>1</v>
      </c>
      <c r="AF13" s="4">
        <f t="shared" si="54"/>
        <v>0</v>
      </c>
      <c r="AG13" s="4">
        <f t="shared" si="54"/>
        <v>1</v>
      </c>
      <c r="AH13" s="4" t="s">
        <v>43</v>
      </c>
      <c r="AI13" s="4">
        <f t="shared" ref="AI13:AL14" si="55">L5</f>
        <v>1</v>
      </c>
      <c r="AJ13" s="4">
        <f t="shared" si="55"/>
        <v>1</v>
      </c>
      <c r="AK13" s="4">
        <f t="shared" si="55"/>
        <v>1</v>
      </c>
      <c r="AL13" s="4">
        <f t="shared" si="55"/>
        <v>0</v>
      </c>
      <c r="AM13" s="4" t="s">
        <v>43</v>
      </c>
      <c r="AN13" s="4">
        <f t="shared" ref="AN13:AQ14" si="56">Q5</f>
        <v>1</v>
      </c>
      <c r="AO13" s="4">
        <f t="shared" si="56"/>
        <v>1</v>
      </c>
      <c r="AP13" s="4">
        <f t="shared" si="56"/>
        <v>0</v>
      </c>
      <c r="AQ13" s="4">
        <f t="shared" si="56"/>
        <v>0</v>
      </c>
      <c r="AR13" s="4" t="s">
        <v>43</v>
      </c>
      <c r="AS13" s="4">
        <f t="shared" ref="AS13:AV14" si="57">V5</f>
        <v>0</v>
      </c>
      <c r="AT13" s="4">
        <f t="shared" si="57"/>
        <v>0</v>
      </c>
      <c r="AU13" s="4">
        <f t="shared" si="57"/>
        <v>0</v>
      </c>
      <c r="AV13" s="4">
        <f t="shared" si="57"/>
        <v>1</v>
      </c>
      <c r="AW13" s="4"/>
      <c r="AX13" s="4"/>
      <c r="AY13" s="4"/>
      <c r="AZ13" s="4" t="s">
        <v>51</v>
      </c>
      <c r="BA13" s="4"/>
      <c r="BB13" s="9">
        <f>C5</f>
        <v>24257</v>
      </c>
      <c r="BD13" s="22"/>
      <c r="BE13" s="22"/>
      <c r="BF13" s="22"/>
    </row>
    <row r="14" spans="1:58" x14ac:dyDescent="0.2">
      <c r="A14" s="1" t="s">
        <v>12</v>
      </c>
      <c r="B14" s="1" t="s">
        <v>23</v>
      </c>
      <c r="C14" s="2">
        <f t="shared" si="38"/>
        <v>-18251</v>
      </c>
      <c r="E14" s="1" t="s">
        <v>39</v>
      </c>
      <c r="F14" s="1" t="s">
        <v>40</v>
      </c>
      <c r="G14" s="2">
        <f t="shared" si="0"/>
        <v>1</v>
      </c>
      <c r="H14" s="1">
        <f t="shared" si="39"/>
        <v>0</v>
      </c>
      <c r="I14" s="1">
        <f t="shared" si="40"/>
        <v>1</v>
      </c>
      <c r="J14" s="1">
        <f t="shared" si="41"/>
        <v>1</v>
      </c>
      <c r="K14" s="1" t="s">
        <v>43</v>
      </c>
      <c r="L14" s="1">
        <f t="shared" si="42"/>
        <v>1</v>
      </c>
      <c r="M14" s="1">
        <f t="shared" si="43"/>
        <v>0</v>
      </c>
      <c r="N14" s="1">
        <f t="shared" si="44"/>
        <v>0</v>
      </c>
      <c r="O14" s="1">
        <f t="shared" si="45"/>
        <v>0</v>
      </c>
      <c r="P14" s="1" t="s">
        <v>43</v>
      </c>
      <c r="Q14" s="1">
        <f t="shared" si="46"/>
        <v>1</v>
      </c>
      <c r="R14" s="1">
        <f t="shared" si="47"/>
        <v>0</v>
      </c>
      <c r="S14" s="1">
        <f t="shared" si="48"/>
        <v>1</v>
      </c>
      <c r="T14" s="1">
        <f t="shared" si="49"/>
        <v>1</v>
      </c>
      <c r="U14" s="1" t="s">
        <v>43</v>
      </c>
      <c r="V14" s="1">
        <f t="shared" si="50"/>
        <v>0</v>
      </c>
      <c r="W14" s="1">
        <f t="shared" si="51"/>
        <v>1</v>
      </c>
      <c r="X14" s="1">
        <f t="shared" si="52"/>
        <v>0</v>
      </c>
      <c r="Y14" s="1">
        <f t="shared" si="53"/>
        <v>1</v>
      </c>
      <c r="AA14" s="8" t="s">
        <v>46</v>
      </c>
      <c r="AB14" s="4" t="s">
        <v>59</v>
      </c>
      <c r="AC14" s="4"/>
      <c r="AD14" s="4">
        <f t="shared" si="54"/>
        <v>0</v>
      </c>
      <c r="AE14" s="4">
        <f t="shared" si="54"/>
        <v>1</v>
      </c>
      <c r="AF14" s="4">
        <f t="shared" si="54"/>
        <v>1</v>
      </c>
      <c r="AG14" s="4">
        <f t="shared" si="54"/>
        <v>1</v>
      </c>
      <c r="AH14" s="4" t="s">
        <v>43</v>
      </c>
      <c r="AI14" s="4">
        <f t="shared" si="55"/>
        <v>0</v>
      </c>
      <c r="AJ14" s="4">
        <f t="shared" si="55"/>
        <v>1</v>
      </c>
      <c r="AK14" s="4">
        <f t="shared" si="55"/>
        <v>1</v>
      </c>
      <c r="AL14" s="4">
        <f t="shared" si="55"/>
        <v>0</v>
      </c>
      <c r="AM14" s="4" t="s">
        <v>43</v>
      </c>
      <c r="AN14" s="4">
        <f t="shared" si="56"/>
        <v>0</v>
      </c>
      <c r="AO14" s="4">
        <f t="shared" si="56"/>
        <v>0</v>
      </c>
      <c r="AP14" s="4">
        <f t="shared" si="56"/>
        <v>1</v>
      </c>
      <c r="AQ14" s="4">
        <f t="shared" si="56"/>
        <v>1</v>
      </c>
      <c r="AR14" s="4" t="s">
        <v>43</v>
      </c>
      <c r="AS14" s="4">
        <f t="shared" si="57"/>
        <v>0</v>
      </c>
      <c r="AT14" s="4">
        <f t="shared" si="57"/>
        <v>1</v>
      </c>
      <c r="AU14" s="4">
        <f t="shared" si="57"/>
        <v>1</v>
      </c>
      <c r="AV14" s="4">
        <f t="shared" si="57"/>
        <v>1</v>
      </c>
      <c r="AW14" s="4"/>
      <c r="AX14" s="4"/>
      <c r="AY14" s="4" t="s">
        <v>46</v>
      </c>
      <c r="AZ14" s="4" t="s">
        <v>64</v>
      </c>
      <c r="BA14" s="4"/>
      <c r="BB14" s="9">
        <f>C6</f>
        <v>30263</v>
      </c>
      <c r="BD14" s="22"/>
      <c r="BE14" s="22"/>
      <c r="BF14" s="22"/>
    </row>
    <row r="15" spans="1:58" x14ac:dyDescent="0.2">
      <c r="A15" s="1" t="s">
        <v>13</v>
      </c>
      <c r="B15" s="1" t="s">
        <v>24</v>
      </c>
      <c r="C15" s="2">
        <f t="shared" si="38"/>
        <v>-11016</v>
      </c>
      <c r="E15" s="1" t="s">
        <v>41</v>
      </c>
      <c r="F15" s="1" t="s">
        <v>42</v>
      </c>
      <c r="G15" s="2">
        <f t="shared" si="0"/>
        <v>1</v>
      </c>
      <c r="H15" s="1">
        <f t="shared" si="39"/>
        <v>1</v>
      </c>
      <c r="I15" s="1">
        <f t="shared" si="40"/>
        <v>0</v>
      </c>
      <c r="J15" s="1">
        <f t="shared" si="41"/>
        <v>1</v>
      </c>
      <c r="K15" s="1" t="s">
        <v>43</v>
      </c>
      <c r="L15" s="1">
        <f t="shared" si="42"/>
        <v>0</v>
      </c>
      <c r="M15" s="1">
        <f t="shared" si="43"/>
        <v>1</v>
      </c>
      <c r="N15" s="1">
        <f t="shared" si="44"/>
        <v>0</v>
      </c>
      <c r="O15" s="1">
        <f t="shared" si="45"/>
        <v>0</v>
      </c>
      <c r="P15" s="1" t="s">
        <v>43</v>
      </c>
      <c r="Q15" s="1">
        <f t="shared" si="46"/>
        <v>1</v>
      </c>
      <c r="R15" s="1">
        <f t="shared" si="47"/>
        <v>1</v>
      </c>
      <c r="S15" s="1">
        <f t="shared" si="48"/>
        <v>1</v>
      </c>
      <c r="T15" s="1">
        <f t="shared" si="49"/>
        <v>1</v>
      </c>
      <c r="U15" s="1" t="s">
        <v>43</v>
      </c>
      <c r="V15" s="1">
        <f t="shared" si="50"/>
        <v>1</v>
      </c>
      <c r="W15" s="1">
        <f t="shared" si="51"/>
        <v>0</v>
      </c>
      <c r="X15" s="1">
        <f t="shared" si="52"/>
        <v>0</v>
      </c>
      <c r="Y15" s="1">
        <f t="shared" si="53"/>
        <v>0</v>
      </c>
      <c r="AA15" s="8"/>
      <c r="AB15" s="10" t="s">
        <v>47</v>
      </c>
      <c r="AC15" s="4"/>
      <c r="AD15" s="11" t="s">
        <v>48</v>
      </c>
      <c r="AE15" s="11" t="s">
        <v>48</v>
      </c>
      <c r="AF15" s="11" t="s">
        <v>48</v>
      </c>
      <c r="AG15" s="11" t="s">
        <v>48</v>
      </c>
      <c r="AH15" s="11" t="s">
        <v>48</v>
      </c>
      <c r="AI15" s="11" t="s">
        <v>48</v>
      </c>
      <c r="AJ15" s="11" t="s">
        <v>48</v>
      </c>
      <c r="AK15" s="11" t="s">
        <v>48</v>
      </c>
      <c r="AL15" s="11" t="s">
        <v>48</v>
      </c>
      <c r="AM15" s="12" t="s">
        <v>48</v>
      </c>
      <c r="AN15" s="11" t="s">
        <v>48</v>
      </c>
      <c r="AO15" s="11" t="s">
        <v>48</v>
      </c>
      <c r="AP15" s="11" t="s">
        <v>48</v>
      </c>
      <c r="AQ15" s="11" t="s">
        <v>48</v>
      </c>
      <c r="AR15" s="12" t="s">
        <v>48</v>
      </c>
      <c r="AS15" s="11" t="s">
        <v>48</v>
      </c>
      <c r="AT15" s="11" t="s">
        <v>48</v>
      </c>
      <c r="AU15" s="11" t="s">
        <v>48</v>
      </c>
      <c r="AV15" s="11" t="s">
        <v>48</v>
      </c>
      <c r="AW15" s="4"/>
      <c r="AX15" s="4"/>
      <c r="AY15" s="12"/>
      <c r="AZ15" s="11" t="s">
        <v>48</v>
      </c>
      <c r="BA15" s="11" t="s">
        <v>48</v>
      </c>
      <c r="BB15" s="13" t="s">
        <v>52</v>
      </c>
      <c r="BD15" s="22"/>
      <c r="BE15" s="22"/>
      <c r="BF15" s="22"/>
    </row>
    <row r="16" spans="1:58" x14ac:dyDescent="0.2">
      <c r="AA16" s="8"/>
      <c r="AB16" s="4"/>
      <c r="AC16" s="4"/>
      <c r="AD16" s="4">
        <f>MOD(AD13+AD14+AE12,2)</f>
        <v>1</v>
      </c>
      <c r="AE16" s="4">
        <f>MOD(AE13+AE14+AF12,2)</f>
        <v>1</v>
      </c>
      <c r="AF16" s="4">
        <f>MOD(AF13+AF14+AG12,2)</f>
        <v>0</v>
      </c>
      <c r="AG16" s="4">
        <f>MOD(AG13+AG14+AI12,2)</f>
        <v>1</v>
      </c>
      <c r="AH16" s="4" t="s">
        <v>43</v>
      </c>
      <c r="AI16" s="4">
        <f>MOD(AI13+AI14+AJ12,2)</f>
        <v>0</v>
      </c>
      <c r="AJ16" s="4">
        <f>MOD(AJ13+AJ14+AK12,2)</f>
        <v>1</v>
      </c>
      <c r="AK16" s="4">
        <f>MOD(AK13+AK14+AL12,2)</f>
        <v>0</v>
      </c>
      <c r="AL16" s="4">
        <f>MOD(AL13+AL14+AN12,2)</f>
        <v>0</v>
      </c>
      <c r="AM16" s="4" t="s">
        <v>43</v>
      </c>
      <c r="AN16" s="4">
        <f>MOD(AN13+AN14+AO12,2)</f>
        <v>1</v>
      </c>
      <c r="AO16" s="4">
        <f>MOD(AO13+AO14+AP12,2)</f>
        <v>1</v>
      </c>
      <c r="AP16" s="4">
        <f>MOD(AP13+AP14+AQ12,2)</f>
        <v>1</v>
      </c>
      <c r="AQ16" s="4">
        <f>MOD(AQ13+AQ14+AS12,2)</f>
        <v>1</v>
      </c>
      <c r="AR16" s="4" t="s">
        <v>43</v>
      </c>
      <c r="AS16" s="4">
        <f>MOD(AS13+AS14+AT12,2)</f>
        <v>1</v>
      </c>
      <c r="AT16" s="4">
        <f>MOD(AT13+AT14+AU12,2)</f>
        <v>0</v>
      </c>
      <c r="AU16" s="4">
        <f>MOD(AU13+AU14+AV12,2)</f>
        <v>0</v>
      </c>
      <c r="AV16" s="4">
        <f>MOD(AV13+AV14,2)</f>
        <v>0</v>
      </c>
      <c r="AW16" s="4"/>
      <c r="AX16" s="4">
        <f>AD16*(-32768)+AE16*16384+AF16*8192+AG16*4096+AI16*2048+AJ16*1024+AK16*512+AL16*256+AN16*128+AO16*64+AP16*32+AQ16*16+AS16*8+AT16*4+AU16*2+AV16</f>
        <v>-11016</v>
      </c>
      <c r="AY16" s="12" t="s">
        <v>72</v>
      </c>
      <c r="AZ16" s="4"/>
      <c r="BA16" s="4"/>
      <c r="BB16" s="9">
        <f>BB13+BB14</f>
        <v>54520</v>
      </c>
      <c r="BD16" s="22"/>
      <c r="BE16" s="22"/>
      <c r="BF16" s="22"/>
    </row>
    <row r="17" spans="5:58" x14ac:dyDescent="0.2">
      <c r="AA17" s="8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9"/>
      <c r="BD17" s="22"/>
      <c r="BE17" s="22"/>
      <c r="BF17" s="22"/>
    </row>
    <row r="18" spans="5:58" x14ac:dyDescent="0.2">
      <c r="AA18" s="14"/>
      <c r="AB18" s="15"/>
      <c r="AC18" s="15"/>
      <c r="AD18" s="20" t="s">
        <v>53</v>
      </c>
      <c r="AE18" s="20"/>
      <c r="AF18" s="15">
        <f>AD12</f>
        <v>0</v>
      </c>
      <c r="AG18" s="15"/>
      <c r="AH18" s="20" t="s">
        <v>54</v>
      </c>
      <c r="AI18" s="20"/>
      <c r="AJ18" s="15">
        <f>IF(MOD(SUM(AS16:AV16)+SUM(AN16:AQ16),2)=0,1,0)</f>
        <v>0</v>
      </c>
      <c r="AK18" s="15"/>
      <c r="AL18" s="20" t="s">
        <v>55</v>
      </c>
      <c r="AM18" s="20"/>
      <c r="AN18" s="15">
        <f>AS12</f>
        <v>0</v>
      </c>
      <c r="AO18" s="15"/>
      <c r="AP18" s="20" t="s">
        <v>56</v>
      </c>
      <c r="AQ18" s="20"/>
      <c r="AR18" s="15">
        <f>IF(AX16=0,1,0)</f>
        <v>0</v>
      </c>
      <c r="AS18" s="15"/>
      <c r="AT18" s="20" t="s">
        <v>57</v>
      </c>
      <c r="AU18" s="20"/>
      <c r="AV18" s="15">
        <f>AD16</f>
        <v>1</v>
      </c>
      <c r="AW18" s="15"/>
      <c r="AX18" s="16" t="s">
        <v>58</v>
      </c>
      <c r="AY18" s="15">
        <f>IF(OR(AND(AD13=0,AD14=0,AD16=1),AND(AD13=1,AD14=1,AD16=0)),1,0)</f>
        <v>1</v>
      </c>
      <c r="AZ18" s="15"/>
      <c r="BA18" s="15"/>
      <c r="BB18" s="17"/>
      <c r="BD18" s="22"/>
      <c r="BE18" s="22"/>
      <c r="BF18" s="22"/>
    </row>
    <row r="19" spans="5:58" x14ac:dyDescent="0.2">
      <c r="E19" s="2"/>
    </row>
    <row r="20" spans="5:58" x14ac:dyDescent="0.2">
      <c r="AA20" s="5"/>
      <c r="AB20" s="6"/>
      <c r="AC20" s="6"/>
      <c r="AD20" s="6">
        <f>INT((AD21+AD22+AE20)/2)</f>
        <v>1</v>
      </c>
      <c r="AE20" s="6">
        <f>INT((AE21+AE22+AF20)/2)</f>
        <v>1</v>
      </c>
      <c r="AF20" s="6">
        <f>INT((AF21+AF22+AG20)/2)</f>
        <v>1</v>
      </c>
      <c r="AG20" s="6">
        <f>INT((AG21+AG22+AI20)/2)</f>
        <v>1</v>
      </c>
      <c r="AH20" s="6" t="s">
        <v>43</v>
      </c>
      <c r="AI20" s="6">
        <f>INT((AI21+AI22+AJ20)/2)</f>
        <v>1</v>
      </c>
      <c r="AJ20" s="6">
        <f>INT((AJ21+AJ22+AK20)/2)</f>
        <v>0</v>
      </c>
      <c r="AK20" s="6">
        <f>INT((AK21+AK22+AL20)/2)</f>
        <v>0</v>
      </c>
      <c r="AL20" s="6">
        <f>INT((AL21+AL22+AN20)/2)</f>
        <v>0</v>
      </c>
      <c r="AM20" s="6" t="s">
        <v>43</v>
      </c>
      <c r="AN20" s="6">
        <f>INT((AN21+AN22+AO20)/2)</f>
        <v>1</v>
      </c>
      <c r="AO20" s="6">
        <f>INT((AO21+AO22+AP20)/2)</f>
        <v>0</v>
      </c>
      <c r="AP20" s="6">
        <f>INT((AP21+AP22+AQ20)/2)</f>
        <v>0</v>
      </c>
      <c r="AQ20" s="6">
        <f>INT((AQ21+AQ22+AS20)/2)</f>
        <v>0</v>
      </c>
      <c r="AR20" s="6" t="s">
        <v>43</v>
      </c>
      <c r="AS20" s="6">
        <f>INT((AS21+AS22+AT20)/2)</f>
        <v>0</v>
      </c>
      <c r="AT20" s="6">
        <f>INT((AT21+AT22+AU20)/2)</f>
        <v>0</v>
      </c>
      <c r="AU20" s="6">
        <f>INT((AU21+AU22+AV20)/2)</f>
        <v>0</v>
      </c>
      <c r="AV20" s="6">
        <f>INT((AV21+AV22)/2)</f>
        <v>0</v>
      </c>
      <c r="AW20" s="6"/>
      <c r="AX20" s="6"/>
      <c r="AY20" s="6"/>
      <c r="AZ20" s="6"/>
      <c r="BA20" s="6"/>
      <c r="BB20" s="7"/>
      <c r="BD20" s="22" t="s">
        <v>71</v>
      </c>
      <c r="BE20" s="22"/>
      <c r="BF20" s="22"/>
    </row>
    <row r="21" spans="5:58" x14ac:dyDescent="0.2">
      <c r="AA21" s="8"/>
      <c r="AB21" s="4" t="s">
        <v>45</v>
      </c>
      <c r="AC21" s="4"/>
      <c r="AD21" s="4">
        <v>0</v>
      </c>
      <c r="AE21" s="4">
        <v>1</v>
      </c>
      <c r="AF21" s="4">
        <v>0</v>
      </c>
      <c r="AG21" s="4">
        <v>1</v>
      </c>
      <c r="AH21" s="4" t="s">
        <v>43</v>
      </c>
      <c r="AI21" s="4">
        <v>1</v>
      </c>
      <c r="AJ21" s="4">
        <v>1</v>
      </c>
      <c r="AK21" s="4">
        <v>1</v>
      </c>
      <c r="AL21" s="4">
        <v>0</v>
      </c>
      <c r="AM21" s="4" t="s">
        <v>43</v>
      </c>
      <c r="AN21" s="4">
        <v>1</v>
      </c>
      <c r="AO21" s="4">
        <v>1</v>
      </c>
      <c r="AP21" s="4">
        <v>0</v>
      </c>
      <c r="AQ21" s="4">
        <v>0</v>
      </c>
      <c r="AR21" s="4" t="s">
        <v>43</v>
      </c>
      <c r="AS21" s="4">
        <v>0</v>
      </c>
      <c r="AT21" s="4">
        <v>0</v>
      </c>
      <c r="AU21" s="4">
        <v>0</v>
      </c>
      <c r="AV21" s="4">
        <v>1</v>
      </c>
      <c r="AW21" s="4"/>
      <c r="AX21" s="4"/>
      <c r="AY21" s="4"/>
      <c r="AZ21" s="4" t="s">
        <v>51</v>
      </c>
      <c r="BA21" s="4"/>
      <c r="BB21" s="9">
        <f>C5</f>
        <v>24257</v>
      </c>
      <c r="BD21" s="22"/>
      <c r="BE21" s="22"/>
      <c r="BF21" s="22"/>
    </row>
    <row r="22" spans="5:58" x14ac:dyDescent="0.2">
      <c r="AA22" s="8" t="s">
        <v>46</v>
      </c>
      <c r="AB22" s="4" t="s">
        <v>60</v>
      </c>
      <c r="AC22" s="4"/>
      <c r="AD22" s="4">
        <f>G10</f>
        <v>1</v>
      </c>
      <c r="AE22" s="4">
        <f>H10</f>
        <v>1</v>
      </c>
      <c r="AF22" s="4">
        <f>I10</f>
        <v>1</v>
      </c>
      <c r="AG22" s="4">
        <f>J10</f>
        <v>0</v>
      </c>
      <c r="AH22" s="4" t="s">
        <v>43</v>
      </c>
      <c r="AI22" s="4">
        <f>L10</f>
        <v>1</v>
      </c>
      <c r="AJ22" s="4">
        <f>M10</f>
        <v>0</v>
      </c>
      <c r="AK22" s="4">
        <f>N10</f>
        <v>0</v>
      </c>
      <c r="AL22" s="4">
        <f>O10</f>
        <v>0</v>
      </c>
      <c r="AM22" s="4" t="s">
        <v>43</v>
      </c>
      <c r="AN22" s="4">
        <f>Q10</f>
        <v>1</v>
      </c>
      <c r="AO22" s="4">
        <f>R10</f>
        <v>0</v>
      </c>
      <c r="AP22" s="4">
        <f>S10</f>
        <v>0</v>
      </c>
      <c r="AQ22" s="4">
        <f>T10</f>
        <v>0</v>
      </c>
      <c r="AR22" s="4" t="s">
        <v>43</v>
      </c>
      <c r="AS22" s="4">
        <f>V10</f>
        <v>1</v>
      </c>
      <c r="AT22" s="4">
        <f>W10</f>
        <v>0</v>
      </c>
      <c r="AU22" s="4">
        <f>X10</f>
        <v>1</v>
      </c>
      <c r="AV22" s="4">
        <f>Y10</f>
        <v>0</v>
      </c>
      <c r="AW22" s="4"/>
      <c r="AX22" s="4"/>
      <c r="AY22" s="4" t="s">
        <v>46</v>
      </c>
      <c r="AZ22" s="4" t="s">
        <v>65</v>
      </c>
      <c r="BA22" s="4"/>
      <c r="BB22" s="9">
        <f>C10</f>
        <v>-6006</v>
      </c>
      <c r="BD22" s="22"/>
      <c r="BE22" s="22"/>
      <c r="BF22" s="22"/>
    </row>
    <row r="23" spans="5:58" x14ac:dyDescent="0.2">
      <c r="AA23" s="8"/>
      <c r="AB23" s="10" t="s">
        <v>47</v>
      </c>
      <c r="AC23" s="4"/>
      <c r="AD23" s="11" t="s">
        <v>48</v>
      </c>
      <c r="AE23" s="11" t="s">
        <v>48</v>
      </c>
      <c r="AF23" s="11" t="s">
        <v>48</v>
      </c>
      <c r="AG23" s="11" t="s">
        <v>48</v>
      </c>
      <c r="AH23" s="12" t="s">
        <v>48</v>
      </c>
      <c r="AI23" s="11" t="s">
        <v>48</v>
      </c>
      <c r="AJ23" s="11" t="s">
        <v>48</v>
      </c>
      <c r="AK23" s="11" t="s">
        <v>48</v>
      </c>
      <c r="AL23" s="11" t="s">
        <v>48</v>
      </c>
      <c r="AM23" s="12" t="s">
        <v>48</v>
      </c>
      <c r="AN23" s="11" t="s">
        <v>48</v>
      </c>
      <c r="AO23" s="11" t="s">
        <v>48</v>
      </c>
      <c r="AP23" s="11" t="s">
        <v>48</v>
      </c>
      <c r="AQ23" s="11" t="s">
        <v>48</v>
      </c>
      <c r="AR23" s="12" t="s">
        <v>48</v>
      </c>
      <c r="AS23" s="11" t="s">
        <v>48</v>
      </c>
      <c r="AT23" s="11" t="s">
        <v>48</v>
      </c>
      <c r="AU23" s="11" t="s">
        <v>48</v>
      </c>
      <c r="AV23" s="11" t="s">
        <v>48</v>
      </c>
      <c r="AW23" s="4"/>
      <c r="AX23" s="4"/>
      <c r="AY23" s="12"/>
      <c r="AZ23" s="11" t="s">
        <v>48</v>
      </c>
      <c r="BA23" s="11" t="s">
        <v>48</v>
      </c>
      <c r="BB23" s="13" t="s">
        <v>52</v>
      </c>
      <c r="BD23" s="22"/>
      <c r="BE23" s="22"/>
      <c r="BF23" s="22"/>
    </row>
    <row r="24" spans="5:58" x14ac:dyDescent="0.2">
      <c r="AA24" s="8"/>
      <c r="AB24" s="4"/>
      <c r="AC24" s="4"/>
      <c r="AD24" s="4">
        <f>MOD(AD21+AD22+AE20,2)</f>
        <v>0</v>
      </c>
      <c r="AE24" s="4">
        <f>MOD(AE21+AE22+AF20,2)</f>
        <v>1</v>
      </c>
      <c r="AF24" s="4">
        <f>MOD(AF21+AF22+AG20,2)</f>
        <v>0</v>
      </c>
      <c r="AG24" s="4">
        <f>MOD(AG21+AG22+AI20,2)</f>
        <v>0</v>
      </c>
      <c r="AH24" s="4" t="s">
        <v>43</v>
      </c>
      <c r="AI24" s="4">
        <f>MOD(AI21+AI22+AJ20,2)</f>
        <v>0</v>
      </c>
      <c r="AJ24" s="4">
        <f>MOD(AJ21+AJ22+AK20,2)</f>
        <v>1</v>
      </c>
      <c r="AK24" s="4">
        <f>MOD(AK21+AK22+AL20,2)</f>
        <v>1</v>
      </c>
      <c r="AL24" s="4">
        <f>MOD(AL21+AL22+AN20,2)</f>
        <v>1</v>
      </c>
      <c r="AM24" s="4" t="s">
        <v>43</v>
      </c>
      <c r="AN24" s="4">
        <f>MOD(AN21+AN22+AO20,2)</f>
        <v>0</v>
      </c>
      <c r="AO24" s="4">
        <f>MOD(AO21+AO22+AP20,2)</f>
        <v>1</v>
      </c>
      <c r="AP24" s="4">
        <f>MOD(AP21+AP22+AQ20,2)</f>
        <v>0</v>
      </c>
      <c r="AQ24" s="4">
        <f>MOD(AQ21+AQ22+AS20,2)</f>
        <v>0</v>
      </c>
      <c r="AR24" s="4" t="s">
        <v>43</v>
      </c>
      <c r="AS24" s="4">
        <f>MOD(AS21+AS22+AT20,2)</f>
        <v>1</v>
      </c>
      <c r="AT24" s="4">
        <f>MOD(AT21+AT22+AU20,2)</f>
        <v>0</v>
      </c>
      <c r="AU24" s="4">
        <f>MOD(AU21+AU22+AV20,2)</f>
        <v>1</v>
      </c>
      <c r="AV24" s="4">
        <f>MOD(AV21+AV22,2)</f>
        <v>1</v>
      </c>
      <c r="AW24" s="4"/>
      <c r="AX24" s="4">
        <f>AD24*(-32768)+AE24*16384+AF24*8192+AG24*4096+AI24*2048+AJ24*1024+AK24*512+AL24*256+AN24*128+AO24*64+AP24*32+AQ24*16+AS24*8+AT24*4+AU24*2+AV24</f>
        <v>18251</v>
      </c>
      <c r="AY24" s="12" t="s">
        <v>49</v>
      </c>
      <c r="AZ24" s="4"/>
      <c r="BA24" s="4"/>
      <c r="BB24" s="9">
        <f>BB21+BB22</f>
        <v>18251</v>
      </c>
      <c r="BD24" s="22"/>
      <c r="BE24" s="22"/>
      <c r="BF24" s="22"/>
    </row>
    <row r="25" spans="5:58" x14ac:dyDescent="0.2">
      <c r="AA25" s="8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9"/>
      <c r="BD25" s="22"/>
      <c r="BE25" s="22"/>
      <c r="BF25" s="22"/>
    </row>
    <row r="26" spans="5:58" x14ac:dyDescent="0.2">
      <c r="AA26" s="14"/>
      <c r="AB26" s="15"/>
      <c r="AC26" s="15"/>
      <c r="AD26" s="20" t="s">
        <v>53</v>
      </c>
      <c r="AE26" s="20"/>
      <c r="AF26" s="15">
        <f>AD20</f>
        <v>1</v>
      </c>
      <c r="AG26" s="15"/>
      <c r="AH26" s="20" t="s">
        <v>54</v>
      </c>
      <c r="AI26" s="20"/>
      <c r="AJ26" s="15">
        <f>IF(MOD(SUM(AS24:AV24)+SUM(AN24:AQ24),2)=0,1,0)</f>
        <v>1</v>
      </c>
      <c r="AK26" s="15"/>
      <c r="AL26" s="20" t="s">
        <v>55</v>
      </c>
      <c r="AM26" s="20"/>
      <c r="AN26" s="15">
        <f>AS20</f>
        <v>0</v>
      </c>
      <c r="AO26" s="15"/>
      <c r="AP26" s="20" t="s">
        <v>56</v>
      </c>
      <c r="AQ26" s="20"/>
      <c r="AR26" s="15">
        <f>IF(AX24=0,1,0)</f>
        <v>0</v>
      </c>
      <c r="AS26" s="15"/>
      <c r="AT26" s="20" t="s">
        <v>57</v>
      </c>
      <c r="AU26" s="20"/>
      <c r="AV26" s="15">
        <f>AD24</f>
        <v>0</v>
      </c>
      <c r="AW26" s="15"/>
      <c r="AX26" s="16" t="s">
        <v>58</v>
      </c>
      <c r="AY26" s="15">
        <f>IF(OR(AND(AD21=0,AD22=0,AD24=1),AND(AD21=1,AD22=1,AD24=0)),1,0)</f>
        <v>0</v>
      </c>
      <c r="AZ26" s="15"/>
      <c r="BA26" s="15"/>
      <c r="BB26" s="17"/>
      <c r="BD26" s="22"/>
      <c r="BE26" s="22"/>
      <c r="BF26" s="22"/>
    </row>
    <row r="28" spans="5:58" x14ac:dyDescent="0.2">
      <c r="AA28" s="5"/>
      <c r="AB28" s="6"/>
      <c r="AC28" s="6"/>
      <c r="AD28" s="6">
        <f>INT((AD29+AD30+AE28)/2)</f>
        <v>1</v>
      </c>
      <c r="AE28" s="6">
        <f>INT((AE29+AE30+AF28)/2)</f>
        <v>1</v>
      </c>
      <c r="AF28" s="6">
        <f>INT((AF29+AF30+AG28)/2)</f>
        <v>1</v>
      </c>
      <c r="AG28" s="6">
        <f>INT((AG29+AG30+AI28)/2)</f>
        <v>0</v>
      </c>
      <c r="AH28" s="6" t="s">
        <v>43</v>
      </c>
      <c r="AI28" s="6">
        <f>INT((AI29+AI30+AJ28)/2)</f>
        <v>0</v>
      </c>
      <c r="AJ28" s="6">
        <f>INT((AJ29+AJ30+AK28)/2)</f>
        <v>0</v>
      </c>
      <c r="AK28" s="6">
        <f>INT((AK29+AK30+AL28)/2)</f>
        <v>0</v>
      </c>
      <c r="AL28" s="6">
        <f>INT((AL29+AL30+AN28)/2)</f>
        <v>0</v>
      </c>
      <c r="AM28" s="6" t="s">
        <v>43</v>
      </c>
      <c r="AN28" s="6">
        <f>INT((AN29+AN30+AO28)/2)</f>
        <v>0</v>
      </c>
      <c r="AO28" s="6">
        <f>INT((AO29+AO30+AP28)/2)</f>
        <v>0</v>
      </c>
      <c r="AP28" s="6">
        <f>INT((AP29+AP30+AQ28)/2)</f>
        <v>1</v>
      </c>
      <c r="AQ28" s="6">
        <f>INT((AQ29+AQ30+AS28)/2)</f>
        <v>1</v>
      </c>
      <c r="AR28" s="6"/>
      <c r="AS28" s="6">
        <f>INT((AS29+AS30+AT28)/2)</f>
        <v>1</v>
      </c>
      <c r="AT28" s="6">
        <f>INT((AT29+AT30+AU28)/2)</f>
        <v>1</v>
      </c>
      <c r="AU28" s="6">
        <f>INT((AU29+AU30+AV28)/2)</f>
        <v>1</v>
      </c>
      <c r="AV28" s="6">
        <f>INT((AV29+AV30)/2)</f>
        <v>0</v>
      </c>
      <c r="AW28" s="6"/>
      <c r="AX28" s="6"/>
      <c r="AY28" s="6"/>
      <c r="AZ28" s="6"/>
      <c r="BA28" s="6"/>
      <c r="BB28" s="7"/>
      <c r="BD28" s="22" t="s">
        <v>71</v>
      </c>
      <c r="BE28" s="22"/>
      <c r="BF28" s="22"/>
    </row>
    <row r="29" spans="5:58" x14ac:dyDescent="0.2">
      <c r="AA29" s="8"/>
      <c r="AB29" s="4" t="s">
        <v>60</v>
      </c>
      <c r="AC29" s="4"/>
      <c r="AD29" s="4">
        <v>1</v>
      </c>
      <c r="AE29" s="4">
        <v>1</v>
      </c>
      <c r="AF29" s="4">
        <v>1</v>
      </c>
      <c r="AG29" s="4">
        <v>0</v>
      </c>
      <c r="AH29" s="4" t="s">
        <v>43</v>
      </c>
      <c r="AI29" s="4">
        <v>1</v>
      </c>
      <c r="AJ29" s="4">
        <v>0</v>
      </c>
      <c r="AK29" s="4">
        <v>0</v>
      </c>
      <c r="AL29" s="4">
        <v>0</v>
      </c>
      <c r="AM29" s="4" t="s">
        <v>43</v>
      </c>
      <c r="AN29" s="4">
        <v>1</v>
      </c>
      <c r="AO29" s="4">
        <v>0</v>
      </c>
      <c r="AP29" s="4">
        <v>0</v>
      </c>
      <c r="AQ29" s="4">
        <v>0</v>
      </c>
      <c r="AR29" s="4" t="s">
        <v>43</v>
      </c>
      <c r="AS29" s="4">
        <v>1</v>
      </c>
      <c r="AT29" s="4">
        <v>0</v>
      </c>
      <c r="AU29" s="4">
        <v>1</v>
      </c>
      <c r="AV29" s="4">
        <v>0</v>
      </c>
      <c r="AW29" s="4"/>
      <c r="AX29" s="4"/>
      <c r="AY29" s="4"/>
      <c r="AZ29" s="4" t="s">
        <v>65</v>
      </c>
      <c r="BA29" s="4"/>
      <c r="BB29" s="9">
        <f>C10</f>
        <v>-6006</v>
      </c>
      <c r="BD29" s="22"/>
      <c r="BE29" s="22"/>
      <c r="BF29" s="22"/>
    </row>
    <row r="30" spans="5:58" x14ac:dyDescent="0.2">
      <c r="AA30" s="8" t="s">
        <v>46</v>
      </c>
      <c r="AB30" s="4" t="s">
        <v>61</v>
      </c>
      <c r="AC30" s="4"/>
      <c r="AD30" s="4">
        <f>G11</f>
        <v>1</v>
      </c>
      <c r="AE30" s="4">
        <f>H11</f>
        <v>0</v>
      </c>
      <c r="AF30" s="4">
        <f>I11</f>
        <v>1</v>
      </c>
      <c r="AG30" s="4">
        <f>J11</f>
        <v>0</v>
      </c>
      <c r="AH30" s="4" t="s">
        <v>43</v>
      </c>
      <c r="AI30" s="4">
        <f>L11</f>
        <v>0</v>
      </c>
      <c r="AJ30" s="4">
        <f>M11</f>
        <v>0</v>
      </c>
      <c r="AK30" s="4">
        <f>N11</f>
        <v>0</v>
      </c>
      <c r="AL30" s="4">
        <f>O11</f>
        <v>1</v>
      </c>
      <c r="AM30" s="4" t="s">
        <v>43</v>
      </c>
      <c r="AN30" s="4">
        <f>Q11</f>
        <v>0</v>
      </c>
      <c r="AO30" s="4">
        <f>R11</f>
        <v>0</v>
      </c>
      <c r="AP30" s="4">
        <f>S11</f>
        <v>1</v>
      </c>
      <c r="AQ30" s="4">
        <f>T11</f>
        <v>1</v>
      </c>
      <c r="AR30" s="4" t="s">
        <v>43</v>
      </c>
      <c r="AS30" s="4">
        <f>V11</f>
        <v>1</v>
      </c>
      <c r="AT30" s="4">
        <f>W11</f>
        <v>1</v>
      </c>
      <c r="AU30" s="4">
        <f>X11</f>
        <v>1</v>
      </c>
      <c r="AV30" s="4">
        <f>Y11</f>
        <v>1</v>
      </c>
      <c r="AW30" s="4"/>
      <c r="AX30" s="4"/>
      <c r="AY30" s="4" t="s">
        <v>46</v>
      </c>
      <c r="AZ30" s="4" t="s">
        <v>67</v>
      </c>
      <c r="BA30" s="4"/>
      <c r="BB30" s="9">
        <f>C11</f>
        <v>-24257</v>
      </c>
      <c r="BD30" s="22"/>
      <c r="BE30" s="22"/>
      <c r="BF30" s="22"/>
    </row>
    <row r="31" spans="5:58" x14ac:dyDescent="0.2">
      <c r="AA31" s="8"/>
      <c r="AB31" s="10" t="s">
        <v>47</v>
      </c>
      <c r="AC31" s="4"/>
      <c r="AD31" s="11" t="s">
        <v>48</v>
      </c>
      <c r="AE31" s="11" t="s">
        <v>48</v>
      </c>
      <c r="AF31" s="11" t="s">
        <v>48</v>
      </c>
      <c r="AG31" s="11" t="s">
        <v>48</v>
      </c>
      <c r="AH31" s="12" t="s">
        <v>48</v>
      </c>
      <c r="AI31" s="11" t="s">
        <v>48</v>
      </c>
      <c r="AJ31" s="11" t="s">
        <v>48</v>
      </c>
      <c r="AK31" s="11" t="s">
        <v>48</v>
      </c>
      <c r="AL31" s="11" t="s">
        <v>48</v>
      </c>
      <c r="AM31" s="12" t="s">
        <v>48</v>
      </c>
      <c r="AN31" s="11" t="s">
        <v>48</v>
      </c>
      <c r="AO31" s="11" t="s">
        <v>48</v>
      </c>
      <c r="AP31" s="11" t="s">
        <v>48</v>
      </c>
      <c r="AQ31" s="11" t="s">
        <v>48</v>
      </c>
      <c r="AR31" s="12" t="s">
        <v>48</v>
      </c>
      <c r="AS31" s="11" t="s">
        <v>48</v>
      </c>
      <c r="AT31" s="11" t="s">
        <v>48</v>
      </c>
      <c r="AU31" s="11" t="s">
        <v>48</v>
      </c>
      <c r="AV31" s="11" t="s">
        <v>48</v>
      </c>
      <c r="AW31" s="4"/>
      <c r="AX31" s="4"/>
      <c r="AY31" s="12"/>
      <c r="AZ31" s="11" t="s">
        <v>48</v>
      </c>
      <c r="BA31" s="11" t="s">
        <v>48</v>
      </c>
      <c r="BB31" s="13" t="s">
        <v>52</v>
      </c>
      <c r="BD31" s="22"/>
      <c r="BE31" s="22"/>
      <c r="BF31" s="22"/>
    </row>
    <row r="32" spans="5:58" x14ac:dyDescent="0.2">
      <c r="AA32" s="8"/>
      <c r="AB32" s="4"/>
      <c r="AC32" s="4"/>
      <c r="AD32" s="4">
        <f>MOD(AD29+AD30+AE28,2)</f>
        <v>1</v>
      </c>
      <c r="AE32" s="4">
        <f>MOD(AE29+AE30+AF28,2)</f>
        <v>0</v>
      </c>
      <c r="AF32" s="4">
        <f>MOD(AF29+AF30+AG28,2)</f>
        <v>0</v>
      </c>
      <c r="AG32" s="4">
        <f>MOD(AG29+AG30+AI28,2)</f>
        <v>0</v>
      </c>
      <c r="AH32" s="4" t="s">
        <v>43</v>
      </c>
      <c r="AI32" s="4">
        <f>MOD(AI29+AI30+AJ28,2)</f>
        <v>1</v>
      </c>
      <c r="AJ32" s="4">
        <f>MOD(AJ29+AJ30+AK28,2)</f>
        <v>0</v>
      </c>
      <c r="AK32" s="4">
        <f>MOD(AK29+AK30+AL28,2)</f>
        <v>0</v>
      </c>
      <c r="AL32" s="4">
        <f>MOD(AL29+AL30+AN28,2)</f>
        <v>1</v>
      </c>
      <c r="AM32" s="4" t="s">
        <v>43</v>
      </c>
      <c r="AN32" s="4">
        <f>MOD(AN29+AN30+AO28,2)</f>
        <v>1</v>
      </c>
      <c r="AO32" s="4">
        <f>MOD(AO29+AO30+AP28,2)</f>
        <v>1</v>
      </c>
      <c r="AP32" s="4">
        <f>MOD(AP29+AP30+AQ28,2)</f>
        <v>0</v>
      </c>
      <c r="AQ32" s="4">
        <f>MOD(AQ29+AQ30+AS28,2)</f>
        <v>0</v>
      </c>
      <c r="AR32" s="4" t="s">
        <v>43</v>
      </c>
      <c r="AS32" s="4">
        <f>MOD(AS29+AS30+AT28,2)</f>
        <v>1</v>
      </c>
      <c r="AT32" s="4">
        <f>MOD(AT29+AT30+AU28,2)</f>
        <v>0</v>
      </c>
      <c r="AU32" s="4">
        <f>MOD(AU29+AU30+AV28,2)</f>
        <v>0</v>
      </c>
      <c r="AV32" s="4">
        <f>MOD(AV29+AV30,2)</f>
        <v>1</v>
      </c>
      <c r="AW32" s="4"/>
      <c r="AX32" s="4">
        <f>AD32*(-32768)+AE32*16384+AF32*8192+AG32*4096+AI32*2048+AJ32*1024+AK32*512+AL32*256+AN32*128+AO32*64+AP32*32+AQ32*16+AS32*8+AT32*4+AU32*2+AV32</f>
        <v>-30263</v>
      </c>
      <c r="AY32" s="12" t="s">
        <v>49</v>
      </c>
      <c r="AZ32" s="4"/>
      <c r="BA32" s="4"/>
      <c r="BB32" s="9">
        <f>BB29+BB30</f>
        <v>-30263</v>
      </c>
      <c r="BD32" s="22"/>
      <c r="BE32" s="22"/>
      <c r="BF32" s="22"/>
    </row>
    <row r="33" spans="27:58" x14ac:dyDescent="0.2">
      <c r="AA33" s="8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9"/>
      <c r="BD33" s="22"/>
      <c r="BE33" s="22"/>
      <c r="BF33" s="22"/>
    </row>
    <row r="34" spans="27:58" x14ac:dyDescent="0.2">
      <c r="AA34" s="14"/>
      <c r="AB34" s="15"/>
      <c r="AC34" s="15"/>
      <c r="AD34" s="20" t="s">
        <v>53</v>
      </c>
      <c r="AE34" s="20"/>
      <c r="AF34" s="15">
        <f>AD28</f>
        <v>1</v>
      </c>
      <c r="AG34" s="15"/>
      <c r="AH34" s="20" t="s">
        <v>54</v>
      </c>
      <c r="AI34" s="20"/>
      <c r="AJ34" s="15">
        <f>IF(MOD(SUM(AS32:AV32)+SUM(AN32:AQ32),2)=0,1,0)</f>
        <v>1</v>
      </c>
      <c r="AK34" s="15"/>
      <c r="AL34" s="20" t="s">
        <v>55</v>
      </c>
      <c r="AM34" s="20"/>
      <c r="AN34" s="15">
        <f>AS28</f>
        <v>1</v>
      </c>
      <c r="AO34" s="15"/>
      <c r="AP34" s="20" t="s">
        <v>56</v>
      </c>
      <c r="AQ34" s="20"/>
      <c r="AR34" s="15">
        <f>IF(AX32=0,1,0)</f>
        <v>0</v>
      </c>
      <c r="AS34" s="15"/>
      <c r="AT34" s="20" t="s">
        <v>57</v>
      </c>
      <c r="AU34" s="20"/>
      <c r="AV34" s="15">
        <f>AD32</f>
        <v>1</v>
      </c>
      <c r="AW34" s="15"/>
      <c r="AX34" s="16" t="s">
        <v>58</v>
      </c>
      <c r="AY34" s="15">
        <f>IF(OR(AND(AD29=0,AD30=0,AD32=1),AND(AD29=1,AD30=1,AD32=0)),1,0)</f>
        <v>0</v>
      </c>
      <c r="AZ34" s="15"/>
      <c r="BA34" s="15"/>
      <c r="BB34" s="17"/>
      <c r="BD34" s="22"/>
      <c r="BE34" s="22"/>
      <c r="BF34" s="22"/>
    </row>
    <row r="36" spans="27:58" x14ac:dyDescent="0.2">
      <c r="AA36" s="5"/>
      <c r="AB36" s="6"/>
      <c r="AC36" s="6"/>
      <c r="AD36" s="6">
        <f>INT((AD37+AD38+AE36)/2)</f>
        <v>1</v>
      </c>
      <c r="AE36" s="6">
        <f>INT((AE37+AE38+AF36)/2)</f>
        <v>0</v>
      </c>
      <c r="AF36" s="6">
        <f>INT((AF37+AF38+AG36)/2)</f>
        <v>0</v>
      </c>
      <c r="AG36" s="6">
        <f>INT((AG37+AG38+AI36)/2)</f>
        <v>0</v>
      </c>
      <c r="AH36" s="6" t="s">
        <v>43</v>
      </c>
      <c r="AI36" s="6">
        <f>INT((AI37+AI38+AJ36)/2)</f>
        <v>0</v>
      </c>
      <c r="AJ36" s="6">
        <f>INT((AJ37+AJ38+AK36)/2)</f>
        <v>0</v>
      </c>
      <c r="AK36" s="6">
        <f>INT((AK37+AK38+AL36)/2)</f>
        <v>0</v>
      </c>
      <c r="AL36" s="6">
        <f>INT((AL37+AL38+AN36)/2)</f>
        <v>1</v>
      </c>
      <c r="AM36" s="6" t="s">
        <v>43</v>
      </c>
      <c r="AN36" s="6">
        <f>INT((AN37+AN38+AO36)/2)</f>
        <v>1</v>
      </c>
      <c r="AO36" s="6">
        <f>INT((AO37+AO38+AP36)/2)</f>
        <v>1</v>
      </c>
      <c r="AP36" s="6">
        <f>INT((AP37+AP38+AQ36)/2)</f>
        <v>1</v>
      </c>
      <c r="AQ36" s="6">
        <f>INT((AQ37+AQ38+AS36)/2)</f>
        <v>1</v>
      </c>
      <c r="AR36" s="6" t="s">
        <v>43</v>
      </c>
      <c r="AS36" s="6">
        <f>INT((AS37+AS38+AT36)/2)</f>
        <v>1</v>
      </c>
      <c r="AT36" s="6">
        <f>INT((AT37+AT38+AU36)/2)</f>
        <v>1</v>
      </c>
      <c r="AU36" s="6">
        <f>INT((AU37+AU38+AV36)/2)</f>
        <v>1</v>
      </c>
      <c r="AV36" s="6">
        <f>INT((AV37+AV38)/2)</f>
        <v>1</v>
      </c>
      <c r="AW36" s="6"/>
      <c r="AX36" s="6"/>
      <c r="AY36" s="6"/>
      <c r="AZ36" s="6"/>
      <c r="BA36" s="6"/>
      <c r="BB36" s="7"/>
      <c r="BD36" s="18"/>
      <c r="BE36" s="18"/>
      <c r="BF36" s="18"/>
    </row>
    <row r="37" spans="27:58" x14ac:dyDescent="0.2">
      <c r="AA37" s="8"/>
      <c r="AB37" s="4" t="s">
        <v>61</v>
      </c>
      <c r="AC37" s="4"/>
      <c r="AD37" s="4">
        <v>1</v>
      </c>
      <c r="AE37" s="4">
        <v>0</v>
      </c>
      <c r="AF37" s="4">
        <v>1</v>
      </c>
      <c r="AG37" s="4">
        <v>0</v>
      </c>
      <c r="AH37" s="4" t="s">
        <v>43</v>
      </c>
      <c r="AI37" s="4">
        <v>0</v>
      </c>
      <c r="AJ37" s="4">
        <v>0</v>
      </c>
      <c r="AK37" s="4">
        <v>0</v>
      </c>
      <c r="AL37" s="4">
        <v>1</v>
      </c>
      <c r="AM37" s="4" t="s">
        <v>43</v>
      </c>
      <c r="AN37" s="4">
        <v>0</v>
      </c>
      <c r="AO37" s="4">
        <v>0</v>
      </c>
      <c r="AP37" s="4">
        <v>1</v>
      </c>
      <c r="AQ37" s="4">
        <v>1</v>
      </c>
      <c r="AR37" s="4" t="s">
        <v>43</v>
      </c>
      <c r="AS37" s="4">
        <v>1</v>
      </c>
      <c r="AT37" s="4">
        <v>1</v>
      </c>
      <c r="AU37" s="4">
        <v>1</v>
      </c>
      <c r="AV37" s="4">
        <v>1</v>
      </c>
      <c r="AW37" s="4"/>
      <c r="AX37" s="4"/>
      <c r="AY37" s="4"/>
      <c r="AZ37" s="4" t="s">
        <v>67</v>
      </c>
      <c r="BA37" s="4"/>
      <c r="BB37" s="9">
        <f>C11</f>
        <v>-24257</v>
      </c>
      <c r="BD37" s="22" t="s">
        <v>73</v>
      </c>
      <c r="BE37" s="22"/>
      <c r="BF37" s="22"/>
    </row>
    <row r="38" spans="27:58" x14ac:dyDescent="0.2">
      <c r="AA38" s="8" t="s">
        <v>46</v>
      </c>
      <c r="AB38" s="4" t="s">
        <v>62</v>
      </c>
      <c r="AC38" s="4"/>
      <c r="AD38" s="4">
        <f>G12</f>
        <v>1</v>
      </c>
      <c r="AE38" s="4">
        <f>H12</f>
        <v>0</v>
      </c>
      <c r="AF38" s="4">
        <f>I12</f>
        <v>0</v>
      </c>
      <c r="AG38" s="4">
        <v>1</v>
      </c>
      <c r="AH38" s="4" t="s">
        <v>43</v>
      </c>
      <c r="AI38" s="4">
        <f>L12</f>
        <v>1</v>
      </c>
      <c r="AJ38" s="4">
        <f>M12</f>
        <v>0</v>
      </c>
      <c r="AK38" s="4">
        <f>N12</f>
        <v>0</v>
      </c>
      <c r="AL38" s="4">
        <f>O12</f>
        <v>1</v>
      </c>
      <c r="AM38" s="4" t="s">
        <v>43</v>
      </c>
      <c r="AN38" s="4">
        <f>Q12</f>
        <v>1</v>
      </c>
      <c r="AO38" s="4">
        <f>R12</f>
        <v>1</v>
      </c>
      <c r="AP38" s="4">
        <f>S12</f>
        <v>0</v>
      </c>
      <c r="AQ38" s="4">
        <f>T12</f>
        <v>0</v>
      </c>
      <c r="AR38" s="4" t="s">
        <v>43</v>
      </c>
      <c r="AS38" s="4">
        <f>V12</f>
        <v>1</v>
      </c>
      <c r="AT38" s="4">
        <f>W12</f>
        <v>0</v>
      </c>
      <c r="AU38" s="4">
        <f>X12</f>
        <v>0</v>
      </c>
      <c r="AV38" s="4">
        <f>Y12</f>
        <v>1</v>
      </c>
      <c r="AW38" s="4"/>
      <c r="AX38" s="4"/>
      <c r="AY38" s="4" t="s">
        <v>46</v>
      </c>
      <c r="AZ38" s="4" t="s">
        <v>68</v>
      </c>
      <c r="BA38" s="4"/>
      <c r="BB38" s="9">
        <f>C12</f>
        <v>-30263</v>
      </c>
      <c r="BD38" s="22"/>
      <c r="BE38" s="22"/>
      <c r="BF38" s="22"/>
    </row>
    <row r="39" spans="27:58" x14ac:dyDescent="0.2">
      <c r="AA39" s="8"/>
      <c r="AB39" s="10" t="s">
        <v>47</v>
      </c>
      <c r="AC39" s="4"/>
      <c r="AD39" s="11" t="s">
        <v>48</v>
      </c>
      <c r="AE39" s="11" t="s">
        <v>48</v>
      </c>
      <c r="AF39" s="11" t="s">
        <v>48</v>
      </c>
      <c r="AG39" s="11" t="s">
        <v>48</v>
      </c>
      <c r="AH39" s="12" t="s">
        <v>48</v>
      </c>
      <c r="AI39" s="11" t="s">
        <v>48</v>
      </c>
      <c r="AJ39" s="11" t="s">
        <v>48</v>
      </c>
      <c r="AK39" s="11" t="s">
        <v>48</v>
      </c>
      <c r="AL39" s="11" t="s">
        <v>48</v>
      </c>
      <c r="AM39" s="12" t="s">
        <v>48</v>
      </c>
      <c r="AN39" s="11" t="s">
        <v>48</v>
      </c>
      <c r="AO39" s="11" t="s">
        <v>48</v>
      </c>
      <c r="AP39" s="11" t="s">
        <v>48</v>
      </c>
      <c r="AQ39" s="11" t="s">
        <v>48</v>
      </c>
      <c r="AR39" s="12" t="s">
        <v>48</v>
      </c>
      <c r="AS39" s="11" t="s">
        <v>48</v>
      </c>
      <c r="AT39" s="11" t="s">
        <v>48</v>
      </c>
      <c r="AU39" s="11" t="s">
        <v>48</v>
      </c>
      <c r="AV39" s="11" t="s">
        <v>48</v>
      </c>
      <c r="AW39" s="4"/>
      <c r="AX39" s="4"/>
      <c r="AY39" s="12"/>
      <c r="AZ39" s="11" t="s">
        <v>48</v>
      </c>
      <c r="BA39" s="11" t="s">
        <v>48</v>
      </c>
      <c r="BB39" s="13" t="s">
        <v>52</v>
      </c>
      <c r="BD39" s="22"/>
      <c r="BE39" s="22"/>
      <c r="BF39" s="22"/>
    </row>
    <row r="40" spans="27:58" x14ac:dyDescent="0.2">
      <c r="AA40" s="8"/>
      <c r="AB40" s="4"/>
      <c r="AC40" s="4"/>
      <c r="AD40" s="4">
        <f>MOD(AD37+AD38+AE36,2)</f>
        <v>0</v>
      </c>
      <c r="AE40" s="4">
        <f>MOD(AE37+AE38+AF36,2)</f>
        <v>0</v>
      </c>
      <c r="AF40" s="4">
        <f>MOD(AF37+AF38+AG36,2)</f>
        <v>1</v>
      </c>
      <c r="AG40" s="4">
        <f>MOD(AG37+AG38+AI36,2)</f>
        <v>1</v>
      </c>
      <c r="AH40" s="4" t="s">
        <v>43</v>
      </c>
      <c r="AI40" s="4">
        <f>MOD(AI37+AI38+AJ36,2)</f>
        <v>1</v>
      </c>
      <c r="AJ40" s="4">
        <f>MOD(AJ37+AJ38+AK36,2)</f>
        <v>0</v>
      </c>
      <c r="AK40" s="4">
        <f>MOD(AK37+AK38+AL36,2)</f>
        <v>1</v>
      </c>
      <c r="AL40" s="4">
        <f>MOD(AL37+AL38+AN36,2)</f>
        <v>1</v>
      </c>
      <c r="AM40" s="4" t="s">
        <v>43</v>
      </c>
      <c r="AN40" s="4">
        <f>MOD(AN37+AN38+AO36,2)</f>
        <v>0</v>
      </c>
      <c r="AO40" s="4">
        <f>MOD(AO37+AO38+AP36,2)</f>
        <v>0</v>
      </c>
      <c r="AP40" s="4">
        <f>MOD(AP37+AP38+AQ36,2)</f>
        <v>0</v>
      </c>
      <c r="AQ40" s="4">
        <f>MOD(AQ37+AQ38+AS36,2)</f>
        <v>0</v>
      </c>
      <c r="AR40" s="4" t="s">
        <v>43</v>
      </c>
      <c r="AS40" s="4">
        <f>MOD(AS37+AS38+AT36,2)</f>
        <v>1</v>
      </c>
      <c r="AT40" s="4">
        <f>MOD(AT37+AT38+AU36,2)</f>
        <v>0</v>
      </c>
      <c r="AU40" s="4">
        <f>MOD(AU37+AU38+AV36,2)</f>
        <v>0</v>
      </c>
      <c r="AV40" s="4">
        <f>MOD(AV37+AV38,2)</f>
        <v>0</v>
      </c>
      <c r="AW40" s="4"/>
      <c r="AX40" s="4">
        <f>AD40*(-32768)+AE40*16384+AF40*8192+AG40*4096+AI40*2048+AJ40*1024+AK40*512+AL40*256+AN40*128+AO40*64+AP40*32+AQ40*16+AS40*8+AT40*4+AU40*2+AV40</f>
        <v>15112</v>
      </c>
      <c r="AY40" s="12" t="s">
        <v>72</v>
      </c>
      <c r="AZ40" s="4"/>
      <c r="BA40" s="4"/>
      <c r="BB40" s="9">
        <f>BB37+BB38</f>
        <v>-54520</v>
      </c>
      <c r="BD40" s="22"/>
      <c r="BE40" s="22"/>
      <c r="BF40" s="22"/>
    </row>
    <row r="41" spans="27:58" x14ac:dyDescent="0.2">
      <c r="AA41" s="8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9"/>
      <c r="BD41" s="22"/>
      <c r="BE41" s="22"/>
      <c r="BF41" s="22"/>
    </row>
    <row r="42" spans="27:58" x14ac:dyDescent="0.2">
      <c r="AA42" s="14"/>
      <c r="AB42" s="15"/>
      <c r="AC42" s="15"/>
      <c r="AD42" s="20" t="s">
        <v>53</v>
      </c>
      <c r="AE42" s="20"/>
      <c r="AF42" s="15">
        <f>AD36</f>
        <v>1</v>
      </c>
      <c r="AG42" s="15"/>
      <c r="AH42" s="20" t="s">
        <v>54</v>
      </c>
      <c r="AI42" s="20"/>
      <c r="AJ42" s="15">
        <f>IF(MOD(SUM(AS40:AV40)+SUM(AN40:AQ40),2)=0,1,0)</f>
        <v>0</v>
      </c>
      <c r="AK42" s="15"/>
      <c r="AL42" s="20" t="s">
        <v>55</v>
      </c>
      <c r="AM42" s="20"/>
      <c r="AN42" s="15">
        <f>AS36</f>
        <v>1</v>
      </c>
      <c r="AO42" s="15"/>
      <c r="AP42" s="20" t="s">
        <v>56</v>
      </c>
      <c r="AQ42" s="20"/>
      <c r="AR42" s="15">
        <f>IF(AX40=0,1,0)</f>
        <v>0</v>
      </c>
      <c r="AS42" s="15"/>
      <c r="AT42" s="20" t="s">
        <v>57</v>
      </c>
      <c r="AU42" s="20"/>
      <c r="AV42" s="15">
        <f>AD40</f>
        <v>0</v>
      </c>
      <c r="AW42" s="15"/>
      <c r="AX42" s="16" t="s">
        <v>58</v>
      </c>
      <c r="AY42" s="15">
        <f>IF(OR(AND(AD37=0,AD38=0,AD40=1),AND(AD37=1,AD38=1,AD40=0)),1,0)</f>
        <v>1</v>
      </c>
      <c r="AZ42" s="15"/>
      <c r="BA42" s="15"/>
      <c r="BB42" s="17"/>
      <c r="BD42" s="22"/>
      <c r="BE42" s="22"/>
      <c r="BF42" s="22"/>
    </row>
    <row r="44" spans="27:58" x14ac:dyDescent="0.2">
      <c r="AA44" s="5"/>
      <c r="AB44" s="6"/>
      <c r="AC44" s="6"/>
      <c r="AD44" s="6">
        <f>INT((AD45+AD46+AE44)/2)</f>
        <v>0</v>
      </c>
      <c r="AE44" s="6">
        <f>INT((AE45+AE46+AF44)/2)</f>
        <v>0</v>
      </c>
      <c r="AF44" s="6">
        <f>INT((AF45+AF46+AG44)/2)</f>
        <v>0</v>
      </c>
      <c r="AG44" s="6">
        <f>INT((AG45+AG46+AI44)/2)</f>
        <v>0</v>
      </c>
      <c r="AH44" s="6" t="s">
        <v>43</v>
      </c>
      <c r="AI44" s="6">
        <f>INT((AI45+AI46+AJ44)/2)</f>
        <v>0</v>
      </c>
      <c r="AJ44" s="6">
        <f>INT((AJ45+AJ46+AK44)/2)</f>
        <v>1</v>
      </c>
      <c r="AK44" s="6">
        <f>INT((AK45+AK46+AL44)/2)</f>
        <v>1</v>
      </c>
      <c r="AL44" s="6">
        <f>INT((AL45+AL46+AN44)/2)</f>
        <v>1</v>
      </c>
      <c r="AM44" s="6" t="s">
        <v>43</v>
      </c>
      <c r="AN44" s="6">
        <f>INT((AN45+AN46+AO44)/2)</f>
        <v>0</v>
      </c>
      <c r="AO44" s="6">
        <f>INT((AO45+AO46+AP44)/2)</f>
        <v>1</v>
      </c>
      <c r="AP44" s="6">
        <f>INT((AP45+AP46+AQ44)/2)</f>
        <v>1</v>
      </c>
      <c r="AQ44" s="6">
        <f>INT((AQ45+AQ46+AS44)/2)</f>
        <v>1</v>
      </c>
      <c r="AR44" s="6" t="s">
        <v>43</v>
      </c>
      <c r="AS44" s="6">
        <f>INT((AS45+AS46+AT44)/2)</f>
        <v>1</v>
      </c>
      <c r="AT44" s="6">
        <f>INT((AT45+AT46+AU44)/2)</f>
        <v>1</v>
      </c>
      <c r="AU44" s="6">
        <f>INT((AU45+AU46+AV44)/2)</f>
        <v>1</v>
      </c>
      <c r="AV44" s="6">
        <f>INT((AV45+AV46)/2)</f>
        <v>0</v>
      </c>
      <c r="AW44" s="6"/>
      <c r="AX44" s="6"/>
      <c r="AY44" s="6"/>
      <c r="AZ44" s="6"/>
      <c r="BA44" s="6"/>
      <c r="BB44" s="7"/>
      <c r="BD44" s="22" t="s">
        <v>69</v>
      </c>
      <c r="BE44" s="22"/>
      <c r="BF44" s="22"/>
    </row>
    <row r="45" spans="27:58" x14ac:dyDescent="0.2">
      <c r="AA45" s="8"/>
      <c r="AB45" s="4" t="s">
        <v>44</v>
      </c>
      <c r="AC45" s="4"/>
      <c r="AD45" s="4">
        <v>0</v>
      </c>
      <c r="AE45" s="4">
        <v>0</v>
      </c>
      <c r="AF45" s="4">
        <v>0</v>
      </c>
      <c r="AG45" s="4">
        <v>1</v>
      </c>
      <c r="AH45" s="4" t="s">
        <v>43</v>
      </c>
      <c r="AI45" s="4">
        <v>0</v>
      </c>
      <c r="AJ45" s="4">
        <v>1</v>
      </c>
      <c r="AK45" s="4">
        <v>1</v>
      </c>
      <c r="AL45" s="4">
        <v>1</v>
      </c>
      <c r="AM45" s="4" t="s">
        <v>43</v>
      </c>
      <c r="AN45" s="4">
        <v>0</v>
      </c>
      <c r="AO45" s="4">
        <v>1</v>
      </c>
      <c r="AP45" s="4">
        <v>1</v>
      </c>
      <c r="AQ45" s="4">
        <v>1</v>
      </c>
      <c r="AR45" s="4" t="s">
        <v>43</v>
      </c>
      <c r="AS45" s="4">
        <v>0</v>
      </c>
      <c r="AT45" s="4">
        <v>1</v>
      </c>
      <c r="AU45" s="4">
        <v>1</v>
      </c>
      <c r="AV45" s="4">
        <v>0</v>
      </c>
      <c r="AW45" s="4"/>
      <c r="AX45" s="4"/>
      <c r="AY45" s="4"/>
      <c r="AZ45" s="4" t="s">
        <v>50</v>
      </c>
      <c r="BA45" s="4"/>
      <c r="BB45" s="9">
        <f>C4</f>
        <v>6006</v>
      </c>
      <c r="BD45" s="22"/>
      <c r="BE45" s="22"/>
      <c r="BF45" s="22"/>
    </row>
    <row r="46" spans="27:58" x14ac:dyDescent="0.2">
      <c r="AA46" s="8" t="s">
        <v>46</v>
      </c>
      <c r="AB46" s="4" t="s">
        <v>61</v>
      </c>
      <c r="AC46" s="4"/>
      <c r="AD46" s="4">
        <v>1</v>
      </c>
      <c r="AE46" s="4">
        <v>0</v>
      </c>
      <c r="AF46" s="4">
        <v>1</v>
      </c>
      <c r="AG46" s="4">
        <v>0</v>
      </c>
      <c r="AH46" s="4" t="s">
        <v>43</v>
      </c>
      <c r="AI46" s="4">
        <v>0</v>
      </c>
      <c r="AJ46" s="4">
        <v>0</v>
      </c>
      <c r="AK46" s="4">
        <v>0</v>
      </c>
      <c r="AL46" s="4">
        <v>1</v>
      </c>
      <c r="AM46" s="4" t="s">
        <v>43</v>
      </c>
      <c r="AN46" s="4">
        <v>0</v>
      </c>
      <c r="AO46" s="4">
        <v>0</v>
      </c>
      <c r="AP46" s="4">
        <v>1</v>
      </c>
      <c r="AQ46" s="4">
        <v>1</v>
      </c>
      <c r="AR46" s="4" t="s">
        <v>43</v>
      </c>
      <c r="AS46" s="4">
        <v>1</v>
      </c>
      <c r="AT46" s="4">
        <v>1</v>
      </c>
      <c r="AU46" s="4">
        <v>1</v>
      </c>
      <c r="AV46" s="4">
        <v>1</v>
      </c>
      <c r="AW46" s="4"/>
      <c r="AX46" s="4"/>
      <c r="AY46" s="4" t="s">
        <v>46</v>
      </c>
      <c r="AZ46" s="4" t="s">
        <v>67</v>
      </c>
      <c r="BA46" s="4"/>
      <c r="BB46" s="9">
        <f>C11</f>
        <v>-24257</v>
      </c>
      <c r="BD46" s="22"/>
      <c r="BE46" s="22"/>
      <c r="BF46" s="22"/>
    </row>
    <row r="47" spans="27:58" x14ac:dyDescent="0.2">
      <c r="AA47" s="8"/>
      <c r="AB47" s="10" t="s">
        <v>47</v>
      </c>
      <c r="AC47" s="4"/>
      <c r="AD47" s="11" t="s">
        <v>48</v>
      </c>
      <c r="AE47" s="11" t="s">
        <v>48</v>
      </c>
      <c r="AF47" s="11" t="s">
        <v>48</v>
      </c>
      <c r="AG47" s="11" t="s">
        <v>48</v>
      </c>
      <c r="AH47" s="12" t="s">
        <v>48</v>
      </c>
      <c r="AI47" s="11" t="s">
        <v>48</v>
      </c>
      <c r="AJ47" s="11" t="s">
        <v>48</v>
      </c>
      <c r="AK47" s="11" t="s">
        <v>48</v>
      </c>
      <c r="AL47" s="11" t="s">
        <v>48</v>
      </c>
      <c r="AM47" s="12" t="s">
        <v>48</v>
      </c>
      <c r="AN47" s="11" t="s">
        <v>48</v>
      </c>
      <c r="AO47" s="11" t="s">
        <v>48</v>
      </c>
      <c r="AP47" s="11" t="s">
        <v>48</v>
      </c>
      <c r="AQ47" s="11" t="s">
        <v>48</v>
      </c>
      <c r="AR47" s="12" t="s">
        <v>48</v>
      </c>
      <c r="AS47" s="11" t="s">
        <v>48</v>
      </c>
      <c r="AT47" s="11" t="s">
        <v>48</v>
      </c>
      <c r="AU47" s="11" t="s">
        <v>48</v>
      </c>
      <c r="AV47" s="11" t="s">
        <v>48</v>
      </c>
      <c r="AW47" s="4"/>
      <c r="AX47" s="4"/>
      <c r="AY47" s="12"/>
      <c r="AZ47" s="11" t="s">
        <v>48</v>
      </c>
      <c r="BA47" s="11" t="s">
        <v>48</v>
      </c>
      <c r="BB47" s="13" t="s">
        <v>52</v>
      </c>
      <c r="BD47" s="22"/>
      <c r="BE47" s="22"/>
      <c r="BF47" s="22"/>
    </row>
    <row r="48" spans="27:58" x14ac:dyDescent="0.2">
      <c r="AA48" s="8"/>
      <c r="AB48" s="4"/>
      <c r="AC48" s="4"/>
      <c r="AD48" s="4">
        <f>MOD(AD45+AD46+AE44,2)</f>
        <v>1</v>
      </c>
      <c r="AE48" s="4">
        <f>MOD(AE45+AE46+AF44,2)</f>
        <v>0</v>
      </c>
      <c r="AF48" s="4">
        <f>MOD(AF45+AF46+AG44,2)</f>
        <v>1</v>
      </c>
      <c r="AG48" s="4">
        <f>MOD(AG45+AG46+AI44,2)</f>
        <v>1</v>
      </c>
      <c r="AH48" s="4" t="s">
        <v>43</v>
      </c>
      <c r="AI48" s="4">
        <f>MOD(AI45+AI46+AJ44,2)</f>
        <v>1</v>
      </c>
      <c r="AJ48" s="4">
        <f>MOD(AJ45+AJ46+AK44,2)</f>
        <v>0</v>
      </c>
      <c r="AK48" s="4">
        <f>MOD(AK45+AK46+AL44,2)</f>
        <v>0</v>
      </c>
      <c r="AL48" s="4">
        <f>MOD(AL45+AL46+AN44,2)</f>
        <v>0</v>
      </c>
      <c r="AM48" s="4" t="s">
        <v>43</v>
      </c>
      <c r="AN48" s="4">
        <f>MOD(AN45+AN46+AO44,2)</f>
        <v>1</v>
      </c>
      <c r="AO48" s="4">
        <f>MOD(AO45+AO46+AP44,2)</f>
        <v>0</v>
      </c>
      <c r="AP48" s="4">
        <f>MOD(AP45+AP46+AQ44,2)</f>
        <v>1</v>
      </c>
      <c r="AQ48" s="4">
        <f>MOD(AQ45+AQ46+AS44,2)</f>
        <v>1</v>
      </c>
      <c r="AR48" s="4" t="s">
        <v>43</v>
      </c>
      <c r="AS48" s="4">
        <f>MOD(AS45+AS46+AT44,2)</f>
        <v>0</v>
      </c>
      <c r="AT48" s="4">
        <f>MOD(AT45+AT46+AU44,2)</f>
        <v>1</v>
      </c>
      <c r="AU48" s="4">
        <f>MOD(AU45+AU46+AV44,2)</f>
        <v>0</v>
      </c>
      <c r="AV48" s="4">
        <f>MOD(AV45+AV46,2)</f>
        <v>1</v>
      </c>
      <c r="AW48" s="4"/>
      <c r="AX48" s="4">
        <f>AD48*(-32768)+AE48*16384+AF48*8192+AG48*4096+AI48*2048+AJ48*1024+AK48*512+AL48*256+AN48*128+AO48*64+AP48*32+AQ48*16+AS48*8+AT48*4+AU48*2+AV48</f>
        <v>-18251</v>
      </c>
      <c r="AY48" s="12" t="s">
        <v>49</v>
      </c>
      <c r="AZ48" s="4"/>
      <c r="BA48" s="4"/>
      <c r="BB48" s="9">
        <f>BB45+BB46</f>
        <v>-18251</v>
      </c>
      <c r="BD48" s="22"/>
      <c r="BE48" s="22"/>
      <c r="BF48" s="22"/>
    </row>
    <row r="49" spans="27:58" x14ac:dyDescent="0.2">
      <c r="AA49" s="8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9"/>
      <c r="BD49" s="22"/>
      <c r="BE49" s="22"/>
      <c r="BF49" s="22"/>
    </row>
    <row r="50" spans="27:58" x14ac:dyDescent="0.2">
      <c r="AA50" s="14"/>
      <c r="AB50" s="15"/>
      <c r="AC50" s="15"/>
      <c r="AD50" s="20" t="s">
        <v>53</v>
      </c>
      <c r="AE50" s="20"/>
      <c r="AF50" s="15">
        <f>AD44</f>
        <v>0</v>
      </c>
      <c r="AG50" s="15"/>
      <c r="AH50" s="20" t="s">
        <v>54</v>
      </c>
      <c r="AI50" s="20"/>
      <c r="AJ50" s="15">
        <f>IF(MOD(SUM(AS48:AV48)+SUM(AN48:AQ48),2)=0,1,0)</f>
        <v>0</v>
      </c>
      <c r="AK50" s="15"/>
      <c r="AL50" s="20" t="s">
        <v>55</v>
      </c>
      <c r="AM50" s="20"/>
      <c r="AN50" s="15">
        <f>AS44</f>
        <v>1</v>
      </c>
      <c r="AO50" s="15"/>
      <c r="AP50" s="20" t="s">
        <v>56</v>
      </c>
      <c r="AQ50" s="20"/>
      <c r="AR50" s="15">
        <f>IF(AX48=0,1,0)</f>
        <v>0</v>
      </c>
      <c r="AS50" s="15"/>
      <c r="AT50" s="20" t="s">
        <v>57</v>
      </c>
      <c r="AU50" s="20"/>
      <c r="AV50" s="15">
        <f>AD48</f>
        <v>1</v>
      </c>
      <c r="AW50" s="15"/>
      <c r="AX50" s="16" t="s">
        <v>58</v>
      </c>
      <c r="AY50" s="15">
        <f>IF(OR(AND(AD45=0,AD46=0,AD48=1),AND(AD45=1,AD46=1,AD48=0)),1,0)</f>
        <v>0</v>
      </c>
      <c r="AZ50" s="15"/>
      <c r="BA50" s="15"/>
      <c r="BB50" s="17"/>
      <c r="BD50" s="22"/>
      <c r="BE50" s="22"/>
      <c r="BF50" s="22"/>
    </row>
    <row r="52" spans="27:58" x14ac:dyDescent="0.2">
      <c r="AA52" s="5"/>
      <c r="AB52" s="6"/>
      <c r="AC52" s="6"/>
      <c r="AD52" s="6">
        <f>INT((AD53+AD54+AE52)/2)</f>
        <v>1</v>
      </c>
      <c r="AE52" s="6">
        <f>INT((AE53+AE54+AF52)/2)</f>
        <v>1</v>
      </c>
      <c r="AF52" s="6">
        <f>INT((AF53+AF54+AG52)/2)</f>
        <v>1</v>
      </c>
      <c r="AG52" s="6">
        <f>INT((AG53+AG54+AI52)/2)</f>
        <v>1</v>
      </c>
      <c r="AH52" s="6" t="s">
        <v>43</v>
      </c>
      <c r="AI52" s="6">
        <f>INT((AI53+AI54+AJ52)/2)</f>
        <v>0</v>
      </c>
      <c r="AJ52" s="6">
        <f>INT((AJ53+AJ54+AK52)/2)</f>
        <v>0</v>
      </c>
      <c r="AK52" s="6">
        <f>INT((AK53+AK54+AL52)/2)</f>
        <v>0</v>
      </c>
      <c r="AL52" s="6">
        <f>INT((AL53+AL54+AN52)/2)</f>
        <v>0</v>
      </c>
      <c r="AM52" s="6" t="s">
        <v>43</v>
      </c>
      <c r="AN52" s="6">
        <f>INT((AN53+AN54+AO52)/2)</f>
        <v>0</v>
      </c>
      <c r="AO52" s="6">
        <f>INT((AO53+AO54+AP52)/2)</f>
        <v>0</v>
      </c>
      <c r="AP52" s="6">
        <f>INT((AP53+AP54+AQ52)/2)</f>
        <v>1</v>
      </c>
      <c r="AQ52" s="6">
        <f>INT((AQ53+AQ54+AS52)/2)</f>
        <v>1</v>
      </c>
      <c r="AR52" s="6" t="s">
        <v>43</v>
      </c>
      <c r="AS52" s="6">
        <f>INT((AS53+AS54+AT52)/2)</f>
        <v>0</v>
      </c>
      <c r="AT52" s="6">
        <f>INT((AT53+AT54+AU52)/2)</f>
        <v>1</v>
      </c>
      <c r="AU52" s="6">
        <f>INT((AU53+AU54+AV52)/2)</f>
        <v>1</v>
      </c>
      <c r="AV52" s="6">
        <f>INT((AV53+AV54)/2)</f>
        <v>1</v>
      </c>
      <c r="AW52" s="6"/>
      <c r="AX52" s="6"/>
      <c r="AY52" s="6"/>
      <c r="AZ52" s="6"/>
      <c r="BA52" s="6"/>
      <c r="BB52" s="7"/>
      <c r="BD52" s="22" t="s">
        <v>71</v>
      </c>
      <c r="BE52" s="22"/>
      <c r="BF52" s="22"/>
    </row>
    <row r="53" spans="27:58" x14ac:dyDescent="0.2">
      <c r="AA53" s="8"/>
      <c r="AB53" s="4" t="s">
        <v>63</v>
      </c>
      <c r="AC53" s="4"/>
      <c r="AD53" s="4">
        <f>G14</f>
        <v>1</v>
      </c>
      <c r="AE53" s="4">
        <f>H14</f>
        <v>0</v>
      </c>
      <c r="AF53" s="4">
        <f>I14</f>
        <v>1</v>
      </c>
      <c r="AG53" s="4">
        <f>J14</f>
        <v>1</v>
      </c>
      <c r="AH53" s="4" t="s">
        <v>43</v>
      </c>
      <c r="AI53" s="4">
        <f>L14</f>
        <v>1</v>
      </c>
      <c r="AJ53" s="4">
        <f>M14</f>
        <v>0</v>
      </c>
      <c r="AK53" s="4">
        <f>N14</f>
        <v>0</v>
      </c>
      <c r="AL53" s="4">
        <f>O14</f>
        <v>0</v>
      </c>
      <c r="AM53" s="4" t="s">
        <v>43</v>
      </c>
      <c r="AN53" s="4">
        <f>Q14</f>
        <v>1</v>
      </c>
      <c r="AO53" s="4">
        <f>R14</f>
        <v>0</v>
      </c>
      <c r="AP53" s="4">
        <f>S14</f>
        <v>1</v>
      </c>
      <c r="AQ53" s="4">
        <f>T14</f>
        <v>1</v>
      </c>
      <c r="AR53" s="4" t="s">
        <v>43</v>
      </c>
      <c r="AS53" s="4">
        <f>V14</f>
        <v>0</v>
      </c>
      <c r="AT53" s="4">
        <f>W14</f>
        <v>1</v>
      </c>
      <c r="AU53" s="4">
        <f>X14</f>
        <v>0</v>
      </c>
      <c r="AV53" s="4">
        <f>Y14</f>
        <v>1</v>
      </c>
      <c r="AW53" s="4"/>
      <c r="AX53" s="4"/>
      <c r="AY53" s="4"/>
      <c r="AZ53" s="4" t="s">
        <v>66</v>
      </c>
      <c r="BA53" s="4"/>
      <c r="BB53" s="9">
        <f>C14</f>
        <v>-18251</v>
      </c>
      <c r="BD53" s="22"/>
      <c r="BE53" s="22"/>
      <c r="BF53" s="22"/>
    </row>
    <row r="54" spans="27:58" x14ac:dyDescent="0.2">
      <c r="AA54" s="8" t="s">
        <v>46</v>
      </c>
      <c r="AB54" s="4" t="s">
        <v>59</v>
      </c>
      <c r="AC54" s="4"/>
      <c r="AD54" s="4">
        <v>0</v>
      </c>
      <c r="AE54" s="4">
        <v>1</v>
      </c>
      <c r="AF54" s="4">
        <v>1</v>
      </c>
      <c r="AG54" s="4">
        <v>1</v>
      </c>
      <c r="AH54" s="4" t="s">
        <v>43</v>
      </c>
      <c r="AI54" s="4">
        <v>0</v>
      </c>
      <c r="AJ54" s="4">
        <v>1</v>
      </c>
      <c r="AK54" s="4">
        <v>1</v>
      </c>
      <c r="AL54" s="4">
        <v>0</v>
      </c>
      <c r="AM54" s="4" t="s">
        <v>43</v>
      </c>
      <c r="AN54" s="4">
        <v>0</v>
      </c>
      <c r="AO54" s="4">
        <v>0</v>
      </c>
      <c r="AP54" s="4">
        <v>1</v>
      </c>
      <c r="AQ54" s="4">
        <v>1</v>
      </c>
      <c r="AR54" s="4" t="s">
        <v>43</v>
      </c>
      <c r="AS54" s="4">
        <v>0</v>
      </c>
      <c r="AT54" s="4">
        <v>1</v>
      </c>
      <c r="AU54" s="4">
        <v>1</v>
      </c>
      <c r="AV54" s="4">
        <v>1</v>
      </c>
      <c r="AW54" s="4"/>
      <c r="AX54" s="4"/>
      <c r="AY54" s="4" t="s">
        <v>46</v>
      </c>
      <c r="AZ54" s="4" t="s">
        <v>64</v>
      </c>
      <c r="BA54" s="4"/>
      <c r="BB54" s="9">
        <f>C6</f>
        <v>30263</v>
      </c>
      <c r="BD54" s="22"/>
      <c r="BE54" s="22"/>
      <c r="BF54" s="22"/>
    </row>
    <row r="55" spans="27:58" x14ac:dyDescent="0.2">
      <c r="AA55" s="8"/>
      <c r="AB55" s="10" t="s">
        <v>47</v>
      </c>
      <c r="AC55" s="4"/>
      <c r="AD55" s="11" t="s">
        <v>48</v>
      </c>
      <c r="AE55" s="11" t="s">
        <v>48</v>
      </c>
      <c r="AF55" s="11" t="s">
        <v>48</v>
      </c>
      <c r="AG55" s="11" t="s">
        <v>48</v>
      </c>
      <c r="AH55" s="12" t="s">
        <v>48</v>
      </c>
      <c r="AI55" s="11" t="s">
        <v>48</v>
      </c>
      <c r="AJ55" s="11" t="s">
        <v>48</v>
      </c>
      <c r="AK55" s="11" t="s">
        <v>48</v>
      </c>
      <c r="AL55" s="11" t="s">
        <v>48</v>
      </c>
      <c r="AM55" s="12" t="s">
        <v>48</v>
      </c>
      <c r="AN55" s="11" t="s">
        <v>48</v>
      </c>
      <c r="AO55" s="11" t="s">
        <v>48</v>
      </c>
      <c r="AP55" s="11" t="s">
        <v>48</v>
      </c>
      <c r="AQ55" s="11" t="s">
        <v>48</v>
      </c>
      <c r="AR55" s="12" t="s">
        <v>48</v>
      </c>
      <c r="AS55" s="11" t="s">
        <v>48</v>
      </c>
      <c r="AT55" s="11" t="s">
        <v>48</v>
      </c>
      <c r="AU55" s="11" t="s">
        <v>48</v>
      </c>
      <c r="AV55" s="11" t="s">
        <v>48</v>
      </c>
      <c r="AW55" s="4"/>
      <c r="AX55" s="4"/>
      <c r="AY55" s="12"/>
      <c r="AZ55" s="11" t="s">
        <v>48</v>
      </c>
      <c r="BA55" s="11" t="s">
        <v>48</v>
      </c>
      <c r="BB55" s="13" t="s">
        <v>52</v>
      </c>
      <c r="BD55" s="22"/>
      <c r="BE55" s="22"/>
      <c r="BF55" s="22"/>
    </row>
    <row r="56" spans="27:58" x14ac:dyDescent="0.2">
      <c r="AA56" s="8"/>
      <c r="AB56" s="4"/>
      <c r="AC56" s="4"/>
      <c r="AD56" s="4">
        <f>MOD(AD53+AD54+AE52,2)</f>
        <v>0</v>
      </c>
      <c r="AE56" s="4">
        <f>MOD(AE53+AE54+AF52,2)</f>
        <v>0</v>
      </c>
      <c r="AF56" s="4">
        <f>MOD(AF53+AF54+AG52,2)</f>
        <v>1</v>
      </c>
      <c r="AG56" s="4">
        <f>MOD(AG53+AG54+AI52,2)</f>
        <v>0</v>
      </c>
      <c r="AH56" s="4" t="s">
        <v>43</v>
      </c>
      <c r="AI56" s="4">
        <f>MOD(AI53+AI54+AJ52,2)</f>
        <v>1</v>
      </c>
      <c r="AJ56" s="4">
        <f>MOD(AJ53+AJ54+AK52,2)</f>
        <v>1</v>
      </c>
      <c r="AK56" s="4">
        <f>MOD(AK53+AK54+AL52,2)</f>
        <v>1</v>
      </c>
      <c r="AL56" s="4">
        <f>MOD(AL53+AL54+AN52,2)</f>
        <v>0</v>
      </c>
      <c r="AM56" s="4" t="s">
        <v>43</v>
      </c>
      <c r="AN56" s="4">
        <f>MOD(AN53+AN54+AO52,2)</f>
        <v>1</v>
      </c>
      <c r="AO56" s="4">
        <f>MOD(AO53+AO54+AP52,2)</f>
        <v>1</v>
      </c>
      <c r="AP56" s="4">
        <f>MOD(AP53+AP54+AQ52,2)</f>
        <v>1</v>
      </c>
      <c r="AQ56" s="4">
        <f>MOD(AQ53+AQ54+AS52,2)</f>
        <v>0</v>
      </c>
      <c r="AR56" s="4" t="s">
        <v>43</v>
      </c>
      <c r="AS56" s="4">
        <f>MOD(AS53+AS54+AT52,2)</f>
        <v>1</v>
      </c>
      <c r="AT56" s="4">
        <f>MOD(AT53+AT54+AU52,2)</f>
        <v>1</v>
      </c>
      <c r="AU56" s="4">
        <f>MOD(AU53+AU54+AV52,2)</f>
        <v>0</v>
      </c>
      <c r="AV56" s="4">
        <f>MOD(AV53+AV54,2)</f>
        <v>0</v>
      </c>
      <c r="AW56" s="4"/>
      <c r="AX56" s="4">
        <f>AD56*(-32768)+AE56*16384+AF56*8192+AG56*4096+AI56*2048+AJ56*1024+AK56*512+AL56*256+AN56*128+AO56*64+AP56*32+AQ56*16+AS56*8+AT56*4+AU56*2+AV56</f>
        <v>12012</v>
      </c>
      <c r="AY56" s="12" t="s">
        <v>49</v>
      </c>
      <c r="AZ56" s="4"/>
      <c r="BA56" s="4"/>
      <c r="BB56" s="9">
        <f>BB53+BB54</f>
        <v>12012</v>
      </c>
      <c r="BD56" s="22"/>
      <c r="BE56" s="22"/>
      <c r="BF56" s="22"/>
    </row>
    <row r="57" spans="27:58" x14ac:dyDescent="0.2">
      <c r="AA57" s="8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9"/>
      <c r="BD57" s="22"/>
      <c r="BE57" s="22"/>
      <c r="BF57" s="22"/>
    </row>
    <row r="58" spans="27:58" x14ac:dyDescent="0.2">
      <c r="AA58" s="14"/>
      <c r="AB58" s="15"/>
      <c r="AC58" s="15"/>
      <c r="AD58" s="20" t="s">
        <v>53</v>
      </c>
      <c r="AE58" s="20"/>
      <c r="AF58" s="15">
        <f>AD52</f>
        <v>1</v>
      </c>
      <c r="AG58" s="15"/>
      <c r="AH58" s="20" t="s">
        <v>54</v>
      </c>
      <c r="AI58" s="20"/>
      <c r="AJ58" s="15">
        <f>IF(MOD(SUM(AS56:AV56)+SUM(AN56:AQ56),2)=0,1,0)</f>
        <v>0</v>
      </c>
      <c r="AK58" s="15"/>
      <c r="AL58" s="20" t="s">
        <v>55</v>
      </c>
      <c r="AM58" s="20"/>
      <c r="AN58" s="15">
        <f>AS52</f>
        <v>0</v>
      </c>
      <c r="AO58" s="15"/>
      <c r="AP58" s="20" t="s">
        <v>56</v>
      </c>
      <c r="AQ58" s="20"/>
      <c r="AR58" s="15">
        <f>IF(AX56=0,1,0)</f>
        <v>0</v>
      </c>
      <c r="AS58" s="15"/>
      <c r="AT58" s="20" t="s">
        <v>57</v>
      </c>
      <c r="AU58" s="20"/>
      <c r="AV58" s="15">
        <f>AD56</f>
        <v>0</v>
      </c>
      <c r="AW58" s="15"/>
      <c r="AX58" s="16" t="s">
        <v>58</v>
      </c>
      <c r="AY58" s="15">
        <f>IF(OR(AND(AD53=0,AD54=0,AD56=1),AND(AD53=1,AD54=1,AD56=0)),1,0)</f>
        <v>0</v>
      </c>
      <c r="AZ58" s="15"/>
      <c r="BA58" s="15"/>
      <c r="BB58" s="17"/>
      <c r="BD58" s="22"/>
      <c r="BE58" s="22"/>
      <c r="BF58" s="22"/>
    </row>
  </sheetData>
  <mergeCells count="42">
    <mergeCell ref="BD44:BF50"/>
    <mergeCell ref="BD52:BF58"/>
    <mergeCell ref="BD37:BF42"/>
    <mergeCell ref="AD58:AE58"/>
    <mergeCell ref="AH58:AI58"/>
    <mergeCell ref="AL58:AM58"/>
    <mergeCell ref="AP58:AQ58"/>
    <mergeCell ref="AT58:AU58"/>
    <mergeCell ref="AD50:AE50"/>
    <mergeCell ref="AH50:AI50"/>
    <mergeCell ref="AL50:AM50"/>
    <mergeCell ref="AP50:AQ50"/>
    <mergeCell ref="AT50:AU50"/>
    <mergeCell ref="BD4:BF10"/>
    <mergeCell ref="BD12:BF18"/>
    <mergeCell ref="BD20:BF26"/>
    <mergeCell ref="BD28:BF34"/>
    <mergeCell ref="AD42:AE42"/>
    <mergeCell ref="AH42:AI42"/>
    <mergeCell ref="AL42:AM42"/>
    <mergeCell ref="AP42:AQ42"/>
    <mergeCell ref="AT42:AU42"/>
    <mergeCell ref="AD26:AE26"/>
    <mergeCell ref="AH26:AI26"/>
    <mergeCell ref="AL26:AM26"/>
    <mergeCell ref="AP26:AQ26"/>
    <mergeCell ref="AT26:AU26"/>
    <mergeCell ref="AD34:AE34"/>
    <mergeCell ref="AH34:AI34"/>
    <mergeCell ref="AL34:AM34"/>
    <mergeCell ref="AP34:AQ34"/>
    <mergeCell ref="AT34:AU34"/>
    <mergeCell ref="AD10:AE10"/>
    <mergeCell ref="AH10:AI10"/>
    <mergeCell ref="AL10:AM10"/>
    <mergeCell ref="AP10:AQ10"/>
    <mergeCell ref="AT10:AU10"/>
    <mergeCell ref="AD18:AE18"/>
    <mergeCell ref="AH18:AI18"/>
    <mergeCell ref="AL18:AM18"/>
    <mergeCell ref="AP18:AQ18"/>
    <mergeCell ref="AT18:AU18"/>
  </mergeCells>
  <pageMargins left="0.7" right="0.7" top="0.75" bottom="0.75" header="0.3" footer="0.3"/>
  <pageSetup paperSize="9" orientation="portrait" horizontalDpi="0" verticalDpi="0"/>
  <headerFooter>
    <oddHeader>&amp;L&amp;"Calibri,обычный"&amp;K000000Шадрухин Александр Сергеевич Вариант №21 
Лабораторная №5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7F44D-99B0-BF4A-9F23-5083C02A8275}">
  <sheetPr codeName="Лист2"/>
  <dimension ref="A1"/>
  <sheetViews>
    <sheetView zoomScale="74" workbookViewId="0">
      <selection activeCell="K5" sqref="K5"/>
    </sheetView>
  </sheetViews>
  <sheetFormatPr baseColWidth="10" defaultRowHeight="16" x14ac:dyDescent="0.2"/>
  <sheetData/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2022-11-20T19:11:54Z</dcterms:created>
  <dcterms:modified xsi:type="dcterms:W3CDTF">2022-12-01T21:01:47Z</dcterms:modified>
</cp:coreProperties>
</file>